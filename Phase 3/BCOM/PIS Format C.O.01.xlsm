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06"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130852\OneDrive - Zamil Industrial Investment Co. (ZIIC)\Desktop\NEW JOBS\RIYADH\CA2-5407  A7-387F NAJRIS CONTRACTING EST\OTHERS\"/>
    </mc:Choice>
  </mc:AlternateContent>
  <xr:revisionPtr revIDLastSave="12" documentId="13_ncr:1_{37E0FBAC-EFA6-4973-8179-1AEE8F9A847B}" xr6:coauthVersionLast="36" xr6:coauthVersionMax="36" xr10:uidLastSave="{9FCB3EDF-5BC4-4127-BFAA-CBCB8989B9A9}"/>
  <bookViews>
    <workbookView xWindow="390" yWindow="180" windowWidth="15570" windowHeight="6930" xr2:uid="{00000000-000D-0000-FFFF-FFFF00000000}"/>
  </bookViews>
  <sheets>
    <sheet name="Main" sheetId="1" r:id="rId1"/>
    <sheet name="Building" sheetId="4" r:id="rId2"/>
    <sheet name="DataBase" sheetId="3" state="hidden" r:id="rId3"/>
  </sheets>
  <definedNames>
    <definedName name="BAArray">DataBase!$E$3:$G$500</definedName>
    <definedName name="Bldg">DataBase!$C$2</definedName>
    <definedName name="CellA1">DataBase!$A$1</definedName>
    <definedName name="CellA2">DataBase!$B$2</definedName>
    <definedName name="CellA3">DataBase!$B$3</definedName>
    <definedName name="CellE3">DataBase!$E$3</definedName>
    <definedName name="CellF500">DataBase!$F$500</definedName>
    <definedName name="_xlnm.Print_Area" localSheetId="1">Building!$C$3:$M$644</definedName>
    <definedName name="_xlnm.Print_Area" localSheetId="0">Main!$C$3:$M$147</definedName>
    <definedName name="_xlnm.Print_Titles" localSheetId="1">Building!$3:$10</definedName>
    <definedName name="_xlnm.Print_Titles" localSheetId="0">Main!$3:$10</definedName>
    <definedName name="Sides">#REF!</definedName>
  </definedNames>
  <calcPr calcId="191029"/>
</workbook>
</file>

<file path=xl/calcChain.xml><?xml version="1.0" encoding="utf-8"?>
<calcChain xmlns="http://schemas.openxmlformats.org/spreadsheetml/2006/main">
  <c r="J17" i="1" l="1"/>
  <c r="E43" i="1"/>
  <c r="BA1236" i="3"/>
  <c r="BA1227" i="3"/>
  <c r="AO1227" i="3"/>
  <c r="BA1226" i="3"/>
  <c r="AO1226" i="3"/>
  <c r="BA1225" i="3"/>
  <c r="AO1225" i="3"/>
  <c r="BA1224" i="3"/>
  <c r="AO1224" i="3"/>
  <c r="BA1223" i="3"/>
  <c r="AO1223" i="3"/>
  <c r="BA1222" i="3"/>
  <c r="AO1222" i="3"/>
  <c r="BA1221" i="3"/>
  <c r="AO1221" i="3"/>
  <c r="BA1220" i="3"/>
  <c r="AO1220" i="3"/>
  <c r="BA1219" i="3"/>
  <c r="AO1219" i="3"/>
  <c r="BA1218" i="3"/>
  <c r="AO1218" i="3"/>
  <c r="BA1217" i="3"/>
  <c r="AO1217" i="3"/>
  <c r="BA1216" i="3"/>
  <c r="AO1216" i="3"/>
  <c r="BA1215" i="3"/>
  <c r="AO1215" i="3"/>
  <c r="BA1214" i="3"/>
  <c r="AO1214" i="3"/>
  <c r="BA1213" i="3"/>
  <c r="AO1213" i="3"/>
  <c r="BA1212" i="3"/>
  <c r="AO1212" i="3"/>
  <c r="BA1211" i="3"/>
  <c r="AO1211" i="3"/>
  <c r="BA1210" i="3"/>
  <c r="AO1210" i="3"/>
  <c r="BA1209" i="3"/>
  <c r="AO1209" i="3"/>
  <c r="BA1208" i="3"/>
  <c r="AO1208" i="3"/>
  <c r="BA1207" i="3"/>
  <c r="AO1207" i="3"/>
  <c r="BA1206" i="3"/>
  <c r="AO1206" i="3"/>
  <c r="BA1205" i="3"/>
  <c r="AO1205" i="3"/>
  <c r="BA1204" i="3"/>
  <c r="AO1204" i="3"/>
  <c r="BA1203" i="3"/>
  <c r="AO1203" i="3"/>
  <c r="BA1202" i="3"/>
  <c r="AO1202" i="3"/>
  <c r="BA1201" i="3"/>
  <c r="AO1201" i="3"/>
  <c r="BA1200" i="3"/>
  <c r="AO1200" i="3"/>
  <c r="BA1199" i="3"/>
  <c r="AO1199" i="3"/>
  <c r="BA1198" i="3"/>
  <c r="AO1198" i="3"/>
  <c r="BA1197" i="3"/>
  <c r="AO1197" i="3"/>
  <c r="BA1196" i="3"/>
  <c r="AO1196" i="3"/>
  <c r="BA1195" i="3"/>
  <c r="AO1195" i="3"/>
  <c r="BA1194" i="3"/>
  <c r="AO1194" i="3"/>
  <c r="BA1193" i="3"/>
  <c r="AO1193" i="3"/>
  <c r="BA1192" i="3"/>
  <c r="AO1192" i="3"/>
  <c r="BA1191" i="3"/>
  <c r="AO1191" i="3"/>
  <c r="BA1190" i="3"/>
  <c r="AO1190" i="3"/>
  <c r="BA1189" i="3"/>
  <c r="AO1189" i="3"/>
  <c r="BA1188" i="3"/>
  <c r="AO1188" i="3"/>
  <c r="AZ1185" i="3"/>
  <c r="BA1175" i="3"/>
  <c r="AO1175" i="3"/>
  <c r="BA1174" i="3"/>
  <c r="AO1174" i="3"/>
  <c r="BA1173" i="3"/>
  <c r="AO1173" i="3"/>
  <c r="BA1172" i="3"/>
  <c r="AO1172" i="3"/>
  <c r="BA1171" i="3"/>
  <c r="AO1171" i="3"/>
  <c r="BA1170" i="3"/>
  <c r="AO1170" i="3"/>
  <c r="BA1169" i="3"/>
  <c r="AO1169" i="3"/>
  <c r="BA1168" i="3"/>
  <c r="AO1168" i="3"/>
  <c r="BA1167" i="3"/>
  <c r="AO1167" i="3"/>
  <c r="BA1166" i="3"/>
  <c r="AO1166" i="3"/>
  <c r="BA1165" i="3"/>
  <c r="AO1165" i="3"/>
  <c r="BA1164" i="3"/>
  <c r="AO1164" i="3"/>
  <c r="BA1163" i="3"/>
  <c r="AO1163" i="3"/>
  <c r="BA1162" i="3"/>
  <c r="AO1162" i="3"/>
  <c r="BA1161" i="3"/>
  <c r="AO1161" i="3"/>
  <c r="BA1160" i="3"/>
  <c r="AO1160" i="3"/>
  <c r="BA1159" i="3"/>
  <c r="AO1159" i="3"/>
  <c r="BA1158" i="3"/>
  <c r="AO1158" i="3"/>
  <c r="BA1157" i="3"/>
  <c r="AO1157" i="3"/>
  <c r="BA1156" i="3"/>
  <c r="AO1156" i="3"/>
  <c r="BA1155" i="3"/>
  <c r="AO1155" i="3"/>
  <c r="BA1154" i="3"/>
  <c r="AO1154" i="3"/>
  <c r="BA1153" i="3"/>
  <c r="AO1153" i="3"/>
  <c r="BA1152" i="3"/>
  <c r="AO1152" i="3"/>
  <c r="BA1151" i="3"/>
  <c r="AO1151" i="3"/>
  <c r="BA1150" i="3"/>
  <c r="AO1150" i="3"/>
  <c r="BA1149" i="3"/>
  <c r="AO1149" i="3"/>
  <c r="BA1148" i="3"/>
  <c r="AO1148" i="3"/>
  <c r="BA1147" i="3"/>
  <c r="AO1147" i="3"/>
  <c r="BA1146" i="3"/>
  <c r="AO1146" i="3"/>
  <c r="BA1145" i="3"/>
  <c r="AO1145" i="3"/>
  <c r="BA1144" i="3"/>
  <c r="AO1144" i="3"/>
  <c r="BA1143" i="3"/>
  <c r="AO1143" i="3"/>
  <c r="BA1142" i="3"/>
  <c r="AO1142" i="3"/>
  <c r="BA1141" i="3"/>
  <c r="AO1141" i="3"/>
  <c r="BA1140" i="3"/>
  <c r="AO1140" i="3"/>
  <c r="BA1139" i="3"/>
  <c r="AO1139" i="3"/>
  <c r="BA1138" i="3"/>
  <c r="AO1138" i="3"/>
  <c r="BA1137" i="3"/>
  <c r="AO1137" i="3"/>
  <c r="BA1136" i="3"/>
  <c r="AO1136" i="3"/>
  <c r="AZ1133" i="3"/>
  <c r="BA1123" i="3"/>
  <c r="AO1123" i="3"/>
  <c r="BA1122" i="3"/>
  <c r="AO1122" i="3"/>
  <c r="BA1121" i="3"/>
  <c r="AO1121" i="3"/>
  <c r="BA1120" i="3"/>
  <c r="AO1120" i="3"/>
  <c r="BA1119" i="3"/>
  <c r="AO1119" i="3"/>
  <c r="BA1118" i="3"/>
  <c r="AO1118" i="3"/>
  <c r="BA1117" i="3"/>
  <c r="AO1117" i="3"/>
  <c r="BA1116" i="3"/>
  <c r="AO1116" i="3"/>
  <c r="BA1115" i="3"/>
  <c r="AO1115" i="3"/>
  <c r="BA1114" i="3"/>
  <c r="AO1114" i="3"/>
  <c r="BA1113" i="3"/>
  <c r="AO1113" i="3"/>
  <c r="BA1112" i="3"/>
  <c r="AO1112" i="3"/>
  <c r="BA1111" i="3"/>
  <c r="AO1111" i="3"/>
  <c r="BA1110" i="3"/>
  <c r="AO1110" i="3"/>
  <c r="BA1109" i="3"/>
  <c r="AO1109" i="3"/>
  <c r="BA1108" i="3"/>
  <c r="AO1108" i="3"/>
  <c r="BA1107" i="3"/>
  <c r="AO1107" i="3"/>
  <c r="BA1106" i="3"/>
  <c r="AO1106" i="3"/>
  <c r="BA1105" i="3"/>
  <c r="AO1105" i="3"/>
  <c r="BA1104" i="3"/>
  <c r="AO1104" i="3"/>
  <c r="BA1103" i="3"/>
  <c r="AO1103" i="3"/>
  <c r="BA1102" i="3"/>
  <c r="AO1102" i="3"/>
  <c r="BA1101" i="3"/>
  <c r="AO1101" i="3"/>
  <c r="BA1100" i="3"/>
  <c r="AO1100" i="3"/>
  <c r="BA1099" i="3"/>
  <c r="AO1099" i="3"/>
  <c r="BA1098" i="3"/>
  <c r="AO1098" i="3"/>
  <c r="BA1097" i="3"/>
  <c r="AO1097" i="3"/>
  <c r="BA1096" i="3"/>
  <c r="AO1096" i="3"/>
  <c r="BA1095" i="3"/>
  <c r="AO1095" i="3"/>
  <c r="BA1094" i="3"/>
  <c r="AO1094" i="3"/>
  <c r="BA1093" i="3"/>
  <c r="AO1093" i="3"/>
  <c r="BA1092" i="3"/>
  <c r="AO1092" i="3"/>
  <c r="BA1091" i="3"/>
  <c r="AO1091" i="3"/>
  <c r="BA1090" i="3"/>
  <c r="AO1090" i="3"/>
  <c r="BA1089" i="3"/>
  <c r="AO1089" i="3"/>
  <c r="BA1088" i="3"/>
  <c r="AO1088" i="3"/>
  <c r="BA1087" i="3"/>
  <c r="AO1087" i="3"/>
  <c r="BA1086" i="3"/>
  <c r="AO1086" i="3"/>
  <c r="BA1085" i="3"/>
  <c r="AO1085" i="3"/>
  <c r="BA1084" i="3"/>
  <c r="AZ1081" i="3"/>
  <c r="BA1071" i="3"/>
  <c r="AO1071" i="3"/>
  <c r="BA1070" i="3"/>
  <c r="AO1070" i="3"/>
  <c r="BA1069" i="3"/>
  <c r="AO1069" i="3"/>
  <c r="BA1068" i="3"/>
  <c r="AO1068" i="3"/>
  <c r="BA1067" i="3"/>
  <c r="AO1067" i="3"/>
  <c r="BA1066" i="3"/>
  <c r="AO1066" i="3"/>
  <c r="BA1065" i="3"/>
  <c r="AO1065" i="3"/>
  <c r="BA1064" i="3"/>
  <c r="AO1064" i="3"/>
  <c r="BA1063" i="3"/>
  <c r="AO1063" i="3"/>
  <c r="BA1062" i="3"/>
  <c r="AO1062" i="3"/>
  <c r="BA1061" i="3"/>
  <c r="AO1061" i="3"/>
  <c r="BA1060" i="3"/>
  <c r="AO1060" i="3"/>
  <c r="BA1059" i="3"/>
  <c r="AO1059" i="3"/>
  <c r="BA1058" i="3"/>
  <c r="AO1058" i="3"/>
  <c r="BA1057" i="3"/>
  <c r="AO1057" i="3"/>
  <c r="BA1056" i="3"/>
  <c r="AO1056" i="3"/>
  <c r="BA1055" i="3"/>
  <c r="AO1055" i="3"/>
  <c r="BA1054" i="3"/>
  <c r="AO1054" i="3"/>
  <c r="BA1053" i="3"/>
  <c r="AO1053" i="3"/>
  <c r="BA1052" i="3"/>
  <c r="AO1052" i="3"/>
  <c r="BA1051" i="3"/>
  <c r="AO1051" i="3"/>
  <c r="BA1050" i="3"/>
  <c r="AO1050" i="3"/>
  <c r="BA1049" i="3"/>
  <c r="AO1049" i="3"/>
  <c r="BA1048" i="3"/>
  <c r="AO1048" i="3"/>
  <c r="BA1047" i="3"/>
  <c r="AO1047" i="3"/>
  <c r="BA1046" i="3"/>
  <c r="AO1046" i="3"/>
  <c r="BA1045" i="3"/>
  <c r="AO1045" i="3"/>
  <c r="BA1044" i="3"/>
  <c r="AO1044" i="3"/>
  <c r="BA1043" i="3"/>
  <c r="AO1043" i="3"/>
  <c r="BA1042" i="3"/>
  <c r="AO1042" i="3"/>
  <c r="BA1041" i="3"/>
  <c r="AO1041" i="3"/>
  <c r="BA1040" i="3"/>
  <c r="AO1040" i="3"/>
  <c r="BA1039" i="3"/>
  <c r="AO1039" i="3"/>
  <c r="BA1038" i="3"/>
  <c r="AO1038" i="3"/>
  <c r="BA1037" i="3"/>
  <c r="AO1037" i="3"/>
  <c r="BA1036" i="3"/>
  <c r="AO1036" i="3"/>
  <c r="BA1035" i="3"/>
  <c r="AO1035" i="3"/>
  <c r="BA1034" i="3"/>
  <c r="AO1034" i="3"/>
  <c r="BA1033" i="3"/>
  <c r="AO1033" i="3"/>
  <c r="BA1032" i="3"/>
  <c r="AO1032" i="3"/>
  <c r="AZ1029" i="3"/>
  <c r="BA1019" i="3"/>
  <c r="AO1019" i="3"/>
  <c r="BA1018" i="3"/>
  <c r="AO1018" i="3"/>
  <c r="BA1017" i="3"/>
  <c r="AO1017" i="3"/>
  <c r="BA1016" i="3"/>
  <c r="AO1016" i="3"/>
  <c r="BA1015" i="3"/>
  <c r="AO1015" i="3"/>
  <c r="BA1014" i="3"/>
  <c r="AO1014" i="3"/>
  <c r="BA1013" i="3"/>
  <c r="AO1013" i="3"/>
  <c r="BA1012" i="3"/>
  <c r="AO1012" i="3"/>
  <c r="BA1011" i="3"/>
  <c r="AO1011" i="3"/>
  <c r="BA1010" i="3"/>
  <c r="AO1010" i="3"/>
  <c r="BA1009" i="3"/>
  <c r="AO1009" i="3"/>
  <c r="BA1008" i="3"/>
  <c r="AO1008" i="3"/>
  <c r="BA1007" i="3"/>
  <c r="AO1007" i="3"/>
  <c r="BA1006" i="3"/>
  <c r="AO1006" i="3"/>
  <c r="BA1005" i="3"/>
  <c r="AO1005" i="3"/>
  <c r="BA1004" i="3"/>
  <c r="AO1004" i="3"/>
  <c r="BA1003" i="3"/>
  <c r="AO1003" i="3"/>
  <c r="BA1002" i="3"/>
  <c r="AO1002" i="3"/>
  <c r="BA1001" i="3"/>
  <c r="AO1001" i="3"/>
  <c r="BA1000" i="3"/>
  <c r="AO1000" i="3"/>
  <c r="BA999" i="3"/>
  <c r="AO999" i="3"/>
  <c r="BA998" i="3"/>
  <c r="AO998" i="3"/>
  <c r="BA997" i="3"/>
  <c r="AO997" i="3"/>
  <c r="BA996" i="3"/>
  <c r="AO996" i="3"/>
  <c r="BA995" i="3"/>
  <c r="AO995" i="3"/>
  <c r="BA994" i="3"/>
  <c r="AO994" i="3"/>
  <c r="BA993" i="3"/>
  <c r="AO993" i="3"/>
  <c r="BA992" i="3"/>
  <c r="AO992" i="3"/>
  <c r="BA991" i="3"/>
  <c r="AO991" i="3"/>
  <c r="BA990" i="3"/>
  <c r="AO990" i="3"/>
  <c r="BA989" i="3"/>
  <c r="AO989" i="3"/>
  <c r="BA988" i="3"/>
  <c r="AO988" i="3"/>
  <c r="BA987" i="3"/>
  <c r="AO987" i="3"/>
  <c r="BA986" i="3"/>
  <c r="AO986" i="3"/>
  <c r="BA985" i="3"/>
  <c r="AO985" i="3"/>
  <c r="BA984" i="3"/>
  <c r="AO984" i="3"/>
  <c r="BA983" i="3"/>
  <c r="AO983" i="3"/>
  <c r="BA982" i="3"/>
  <c r="AO982" i="3"/>
  <c r="BA981" i="3"/>
  <c r="AO981" i="3"/>
  <c r="BA980" i="3"/>
  <c r="AO980" i="3"/>
  <c r="AZ977" i="3"/>
  <c r="BA967" i="3"/>
  <c r="AO967" i="3"/>
  <c r="BA966" i="3"/>
  <c r="AO966" i="3"/>
  <c r="BA965" i="3"/>
  <c r="AO965" i="3"/>
  <c r="BA964" i="3"/>
  <c r="AO964" i="3"/>
  <c r="BA963" i="3"/>
  <c r="AO963" i="3"/>
  <c r="BA962" i="3"/>
  <c r="AO962" i="3"/>
  <c r="BA961" i="3"/>
  <c r="AO961" i="3"/>
  <c r="BA960" i="3"/>
  <c r="AO960" i="3"/>
  <c r="BA959" i="3"/>
  <c r="AO959" i="3"/>
  <c r="BA958" i="3"/>
  <c r="AO958" i="3"/>
  <c r="BA957" i="3"/>
  <c r="AO957" i="3"/>
  <c r="BA956" i="3"/>
  <c r="AO956" i="3"/>
  <c r="BA955" i="3"/>
  <c r="AO955" i="3"/>
  <c r="BA954" i="3"/>
  <c r="AO954" i="3"/>
  <c r="BA953" i="3"/>
  <c r="AO953" i="3"/>
  <c r="BA952" i="3"/>
  <c r="AO952" i="3"/>
  <c r="BA951" i="3"/>
  <c r="AO951" i="3"/>
  <c r="BA950" i="3"/>
  <c r="AO950" i="3"/>
  <c r="BA949" i="3"/>
  <c r="AO949" i="3"/>
  <c r="BA948" i="3"/>
  <c r="AO948" i="3"/>
  <c r="BA947" i="3"/>
  <c r="AO947" i="3"/>
  <c r="BA946" i="3"/>
  <c r="AO946" i="3"/>
  <c r="BA945" i="3"/>
  <c r="AO945" i="3"/>
  <c r="BA944" i="3"/>
  <c r="AO944" i="3"/>
  <c r="BA943" i="3"/>
  <c r="AO943" i="3"/>
  <c r="BA942" i="3"/>
  <c r="AO942" i="3"/>
  <c r="BA941" i="3"/>
  <c r="AO941" i="3"/>
  <c r="BA940" i="3"/>
  <c r="AO940" i="3"/>
  <c r="BA939" i="3"/>
  <c r="AO939" i="3"/>
  <c r="BA938" i="3"/>
  <c r="AO938" i="3"/>
  <c r="BA937" i="3"/>
  <c r="AO937" i="3"/>
  <c r="BA936" i="3"/>
  <c r="AO936" i="3"/>
  <c r="BA935" i="3"/>
  <c r="AO935" i="3"/>
  <c r="BA934" i="3"/>
  <c r="AO934" i="3"/>
  <c r="BA933" i="3"/>
  <c r="AO933" i="3"/>
  <c r="BA932" i="3"/>
  <c r="AO932" i="3"/>
  <c r="BA931" i="3"/>
  <c r="AO931" i="3"/>
  <c r="BA930" i="3"/>
  <c r="AO930" i="3"/>
  <c r="BA929" i="3"/>
  <c r="AO929" i="3"/>
  <c r="BA928" i="3"/>
  <c r="AO928" i="3"/>
  <c r="AZ925" i="3"/>
  <c r="BA915" i="3"/>
  <c r="AO915" i="3"/>
  <c r="BA914" i="3"/>
  <c r="AO914" i="3"/>
  <c r="BA913" i="3"/>
  <c r="AO913" i="3"/>
  <c r="BA912" i="3"/>
  <c r="AO912" i="3"/>
  <c r="BA911" i="3"/>
  <c r="AO911" i="3"/>
  <c r="BA910" i="3"/>
  <c r="AO910" i="3"/>
  <c r="BA909" i="3"/>
  <c r="AO909" i="3"/>
  <c r="BA908" i="3"/>
  <c r="AO908" i="3"/>
  <c r="BA907" i="3"/>
  <c r="AO907" i="3"/>
  <c r="BA906" i="3"/>
  <c r="AO906" i="3"/>
  <c r="BA905" i="3"/>
  <c r="AO905" i="3"/>
  <c r="BA904" i="3"/>
  <c r="AO904" i="3"/>
  <c r="BA903" i="3"/>
  <c r="AO903" i="3"/>
  <c r="BA902" i="3"/>
  <c r="AO902" i="3"/>
  <c r="BA901" i="3"/>
  <c r="AO901" i="3"/>
  <c r="BA900" i="3"/>
  <c r="AO900" i="3"/>
  <c r="BA899" i="3"/>
  <c r="AO899" i="3"/>
  <c r="BA898" i="3"/>
  <c r="AO898" i="3"/>
  <c r="BA897" i="3"/>
  <c r="AO897" i="3"/>
  <c r="BA896" i="3"/>
  <c r="AO896" i="3"/>
  <c r="BA895" i="3"/>
  <c r="AO895" i="3"/>
  <c r="BA894" i="3"/>
  <c r="AO894" i="3"/>
  <c r="BA893" i="3"/>
  <c r="AO893" i="3"/>
  <c r="BA892" i="3"/>
  <c r="AO892" i="3"/>
  <c r="BA891" i="3"/>
  <c r="AO891" i="3"/>
  <c r="BA890" i="3"/>
  <c r="AO890" i="3"/>
  <c r="BA889" i="3"/>
  <c r="AO889" i="3"/>
  <c r="BA888" i="3"/>
  <c r="AO888" i="3"/>
  <c r="BA887" i="3"/>
  <c r="AO887" i="3"/>
  <c r="BA886" i="3"/>
  <c r="AO886" i="3"/>
  <c r="BA885" i="3"/>
  <c r="AO885" i="3"/>
  <c r="BA884" i="3"/>
  <c r="AO884" i="3"/>
  <c r="BA883" i="3"/>
  <c r="AO883" i="3"/>
  <c r="BA882" i="3"/>
  <c r="AO882" i="3"/>
  <c r="BA881" i="3"/>
  <c r="AO881" i="3"/>
  <c r="BA880" i="3"/>
  <c r="AO880" i="3"/>
  <c r="BA879" i="3"/>
  <c r="AO879" i="3"/>
  <c r="BA878" i="3"/>
  <c r="AO878" i="3"/>
  <c r="BA877" i="3"/>
  <c r="AO877" i="3"/>
  <c r="BA876" i="3"/>
  <c r="AO876" i="3"/>
  <c r="AZ873" i="3"/>
  <c r="BA863" i="3"/>
  <c r="AO863" i="3"/>
  <c r="BA862" i="3"/>
  <c r="AO862" i="3"/>
  <c r="BA861" i="3"/>
  <c r="AO861" i="3"/>
  <c r="BA860" i="3"/>
  <c r="AO860" i="3"/>
  <c r="BA859" i="3"/>
  <c r="AO859" i="3"/>
  <c r="BA858" i="3"/>
  <c r="AO858" i="3"/>
  <c r="BA857" i="3"/>
  <c r="AO857" i="3"/>
  <c r="BA856" i="3"/>
  <c r="AO856" i="3"/>
  <c r="BA855" i="3"/>
  <c r="AO855" i="3"/>
  <c r="BA854" i="3"/>
  <c r="AO854" i="3"/>
  <c r="BA853" i="3"/>
  <c r="AO853" i="3"/>
  <c r="BA852" i="3"/>
  <c r="AO852" i="3"/>
  <c r="BA851" i="3"/>
  <c r="AO851" i="3"/>
  <c r="BA850" i="3"/>
  <c r="AO850" i="3"/>
  <c r="BA849" i="3"/>
  <c r="AO849" i="3"/>
  <c r="BA848" i="3"/>
  <c r="AO848" i="3"/>
  <c r="BA847" i="3"/>
  <c r="AO847" i="3"/>
  <c r="BA846" i="3"/>
  <c r="AO846" i="3"/>
  <c r="BA845" i="3"/>
  <c r="AO845" i="3"/>
  <c r="BA844" i="3"/>
  <c r="AO844" i="3"/>
  <c r="BA843" i="3"/>
  <c r="AO843" i="3"/>
  <c r="BA842" i="3"/>
  <c r="AO842" i="3"/>
  <c r="BA841" i="3"/>
  <c r="AO841" i="3"/>
  <c r="BA840" i="3"/>
  <c r="AO840" i="3"/>
  <c r="BA839" i="3"/>
  <c r="AO839" i="3"/>
  <c r="BA838" i="3"/>
  <c r="AO838" i="3"/>
  <c r="BA837" i="3"/>
  <c r="AO837" i="3"/>
  <c r="BA836" i="3"/>
  <c r="AO836" i="3"/>
  <c r="BA835" i="3"/>
  <c r="AO835" i="3"/>
  <c r="BA834" i="3"/>
  <c r="AO834" i="3"/>
  <c r="BA833" i="3"/>
  <c r="AO833" i="3"/>
  <c r="BA832" i="3"/>
  <c r="AO832" i="3"/>
  <c r="BA831" i="3"/>
  <c r="AO831" i="3"/>
  <c r="BA830" i="3"/>
  <c r="AO830" i="3"/>
  <c r="BA829" i="3"/>
  <c r="AO829" i="3"/>
  <c r="BA828" i="3"/>
  <c r="AO828" i="3"/>
  <c r="BA827" i="3"/>
  <c r="AO827" i="3"/>
  <c r="BA826" i="3"/>
  <c r="AO826" i="3"/>
  <c r="BA825" i="3"/>
  <c r="AO825" i="3"/>
  <c r="BA824" i="3"/>
  <c r="AO824" i="3"/>
  <c r="AZ821" i="3"/>
  <c r="BA811" i="3"/>
  <c r="AO811" i="3"/>
  <c r="BA810" i="3"/>
  <c r="AO810" i="3"/>
  <c r="BA809" i="3"/>
  <c r="AO809" i="3"/>
  <c r="BA808" i="3"/>
  <c r="AO808" i="3"/>
  <c r="BA807" i="3"/>
  <c r="AO807" i="3"/>
  <c r="BA806" i="3"/>
  <c r="AO806" i="3"/>
  <c r="BA805" i="3"/>
  <c r="AO805" i="3"/>
  <c r="BA804" i="3"/>
  <c r="AO804" i="3"/>
  <c r="BA803" i="3"/>
  <c r="AO803" i="3"/>
  <c r="BA802" i="3"/>
  <c r="AO802" i="3"/>
  <c r="BA801" i="3"/>
  <c r="AO801" i="3"/>
  <c r="BA800" i="3"/>
  <c r="AO800" i="3"/>
  <c r="BA799" i="3"/>
  <c r="AO799" i="3"/>
  <c r="BA798" i="3"/>
  <c r="AO798" i="3"/>
  <c r="BA797" i="3"/>
  <c r="AO797" i="3"/>
  <c r="BA796" i="3"/>
  <c r="AO796" i="3"/>
  <c r="BA795" i="3"/>
  <c r="AO795" i="3"/>
  <c r="BA794" i="3"/>
  <c r="AO794" i="3"/>
  <c r="BA793" i="3"/>
  <c r="AO793" i="3"/>
  <c r="BA792" i="3"/>
  <c r="AO792" i="3"/>
  <c r="BA791" i="3"/>
  <c r="AO791" i="3"/>
  <c r="BA790" i="3"/>
  <c r="AO790" i="3"/>
  <c r="BA789" i="3"/>
  <c r="AO789" i="3"/>
  <c r="BA788" i="3"/>
  <c r="AO788" i="3"/>
  <c r="BA787" i="3"/>
  <c r="AO787" i="3"/>
  <c r="BA786" i="3"/>
  <c r="AO786" i="3"/>
  <c r="AZ783" i="3"/>
  <c r="BA773" i="3"/>
  <c r="AO773" i="3"/>
  <c r="BA772" i="3"/>
  <c r="AO772" i="3"/>
  <c r="BA771" i="3"/>
  <c r="AO771" i="3"/>
  <c r="BA770" i="3"/>
  <c r="AO770" i="3"/>
  <c r="BA769" i="3"/>
  <c r="AO769" i="3"/>
  <c r="BA768" i="3"/>
  <c r="AO768" i="3"/>
  <c r="BA767" i="3"/>
  <c r="AO767" i="3"/>
  <c r="BE766" i="3"/>
  <c r="BA766" i="3"/>
  <c r="AO766" i="3"/>
  <c r="BE765" i="3"/>
  <c r="BD765" i="3"/>
  <c r="BD766" i="3"/>
  <c r="BC765" i="3"/>
  <c r="BC766" i="3"/>
  <c r="BB765" i="3"/>
  <c r="BB766" i="3"/>
  <c r="BA765" i="3"/>
  <c r="AO765" i="3"/>
  <c r="BA764" i="3"/>
  <c r="AO764" i="3"/>
  <c r="BE763" i="3"/>
  <c r="BE764" i="3"/>
  <c r="BD763" i="3"/>
  <c r="BD764" i="3"/>
  <c r="BC763" i="3"/>
  <c r="BC764" i="3"/>
  <c r="BB763" i="3"/>
  <c r="BB764" i="3"/>
  <c r="BA763" i="3"/>
  <c r="AO763" i="3"/>
  <c r="BA762" i="3"/>
  <c r="AO762" i="3"/>
  <c r="BA761" i="3"/>
  <c r="AO761" i="3"/>
  <c r="BA760" i="3"/>
  <c r="AO760" i="3"/>
  <c r="BE759" i="3"/>
  <c r="BD759" i="3"/>
  <c r="BC759" i="3"/>
  <c r="BB759" i="3"/>
  <c r="BA759" i="3"/>
  <c r="AO759" i="3"/>
  <c r="BE758" i="3"/>
  <c r="BD758" i="3"/>
  <c r="BC758" i="3"/>
  <c r="BB758" i="3"/>
  <c r="BA758" i="3"/>
  <c r="AO758" i="3"/>
  <c r="BA757" i="3"/>
  <c r="AO757" i="3"/>
  <c r="BE756" i="3"/>
  <c r="BD756" i="3"/>
  <c r="BC756" i="3"/>
  <c r="BB756" i="3"/>
  <c r="BA756" i="3"/>
  <c r="AO756" i="3"/>
  <c r="BE755" i="3"/>
  <c r="BD755" i="3"/>
  <c r="BC755" i="3"/>
  <c r="BB755" i="3"/>
  <c r="BA755" i="3"/>
  <c r="AO755" i="3"/>
  <c r="BE754" i="3"/>
  <c r="BD754" i="3"/>
  <c r="BC754" i="3"/>
  <c r="BB754" i="3"/>
  <c r="BA754" i="3"/>
  <c r="AO754" i="3"/>
  <c r="BA753" i="3"/>
  <c r="AO753" i="3"/>
  <c r="BE752" i="3"/>
  <c r="BD752" i="3"/>
  <c r="BC752" i="3"/>
  <c r="BB752" i="3"/>
  <c r="BA752" i="3"/>
  <c r="AO752" i="3"/>
  <c r="BE751" i="3"/>
  <c r="BD751" i="3"/>
  <c r="BC751" i="3"/>
  <c r="BB751" i="3"/>
  <c r="BA751" i="3"/>
  <c r="AO751" i="3"/>
  <c r="BA750" i="3"/>
  <c r="AO750" i="3"/>
  <c r="BA749" i="3"/>
  <c r="AO749" i="3"/>
  <c r="AZ745" i="3"/>
  <c r="AO741" i="3"/>
  <c r="AS740" i="3"/>
  <c r="BI732" i="3"/>
  <c r="BH732" i="3"/>
  <c r="AR728" i="3"/>
  <c r="BI726" i="3"/>
  <c r="BH726" i="3"/>
  <c r="BE726" i="3"/>
  <c r="BD726" i="3"/>
  <c r="BB726" i="3"/>
  <c r="AR726" i="3"/>
  <c r="AR722" i="3"/>
  <c r="AR720" i="3"/>
  <c r="AT712" i="3"/>
  <c r="AT707" i="3"/>
  <c r="AT702" i="3"/>
  <c r="AZ697" i="3"/>
  <c r="AT697" i="3"/>
  <c r="AZ694" i="3"/>
  <c r="AZ684" i="3"/>
  <c r="AZ655" i="3"/>
  <c r="AS652" i="3"/>
  <c r="AP651" i="3"/>
  <c r="AX650" i="3"/>
  <c r="AP650" i="3"/>
  <c r="AX649" i="3"/>
  <c r="AP649" i="3"/>
  <c r="AX648" i="3"/>
  <c r="AP648" i="3"/>
  <c r="BA820" i="3"/>
  <c r="BD767" i="3"/>
  <c r="AR724" i="3"/>
  <c r="BC753" i="3"/>
  <c r="BC767" i="3"/>
  <c r="BD753" i="3"/>
  <c r="BA1184" i="3"/>
  <c r="AO1084" i="3"/>
  <c r="BA1080" i="3"/>
  <c r="BE753" i="3"/>
  <c r="BE767" i="3"/>
  <c r="BA924" i="3"/>
  <c r="BA976" i="3"/>
  <c r="BA744" i="3"/>
  <c r="BB753" i="3"/>
  <c r="BB767" i="3"/>
  <c r="BA782" i="3"/>
  <c r="BA872" i="3"/>
  <c r="BA1132" i="3"/>
  <c r="BA1028" i="3"/>
  <c r="O636" i="4"/>
  <c r="O635" i="4"/>
  <c r="O634" i="4"/>
  <c r="O633" i="4"/>
  <c r="O632" i="4"/>
  <c r="O631" i="4"/>
  <c r="C631" i="4"/>
  <c r="O630" i="4"/>
  <c r="O629" i="4"/>
  <c r="O628" i="4"/>
  <c r="O627" i="4"/>
  <c r="O626" i="4"/>
  <c r="C626" i="4"/>
  <c r="O625" i="4"/>
  <c r="C625" i="4"/>
  <c r="O624" i="4"/>
  <c r="C624" i="4"/>
  <c r="O623" i="4"/>
  <c r="C623" i="4"/>
  <c r="O622" i="4"/>
  <c r="C622" i="4"/>
  <c r="O621" i="4"/>
  <c r="C621" i="4"/>
  <c r="O620" i="4"/>
  <c r="O619" i="4"/>
  <c r="O618" i="4"/>
  <c r="C618" i="4"/>
  <c r="O617" i="4"/>
  <c r="C617" i="4"/>
  <c r="O616" i="4"/>
  <c r="C616" i="4"/>
  <c r="O615" i="4"/>
  <c r="C615" i="4"/>
  <c r="O614" i="4"/>
  <c r="C614" i="4"/>
  <c r="O613" i="4"/>
  <c r="C613" i="4"/>
  <c r="O612" i="4"/>
  <c r="C612" i="4"/>
  <c r="O611" i="4"/>
  <c r="O610" i="4"/>
  <c r="C610" i="4"/>
  <c r="O609" i="4"/>
  <c r="C609" i="4"/>
  <c r="O608" i="4"/>
  <c r="C608" i="4"/>
  <c r="O607" i="4"/>
  <c r="O606" i="4"/>
  <c r="C606" i="4"/>
  <c r="O605" i="4"/>
  <c r="C605" i="4"/>
  <c r="O604" i="4"/>
  <c r="C604" i="4"/>
  <c r="O603" i="4"/>
  <c r="C603" i="4"/>
  <c r="O602" i="4"/>
  <c r="C602" i="4"/>
  <c r="O601" i="4"/>
  <c r="C601" i="4"/>
  <c r="O600" i="4"/>
  <c r="C600" i="4"/>
  <c r="O599" i="4"/>
  <c r="O598" i="4"/>
  <c r="O597" i="4"/>
  <c r="C636" i="4"/>
  <c r="C635" i="4"/>
  <c r="C634" i="4"/>
  <c r="C633" i="4"/>
  <c r="C632" i="4"/>
  <c r="C630" i="4"/>
  <c r="C629" i="4"/>
  <c r="C628" i="4"/>
  <c r="C627" i="4"/>
  <c r="C620" i="4"/>
  <c r="C619" i="4"/>
  <c r="C611" i="4"/>
  <c r="C607" i="4"/>
  <c r="C599" i="4"/>
  <c r="N594" i="4"/>
  <c r="O584" i="4"/>
  <c r="C584" i="4"/>
  <c r="O583" i="4"/>
  <c r="C583" i="4"/>
  <c r="O582" i="4"/>
  <c r="C582" i="4"/>
  <c r="O581" i="4"/>
  <c r="C581" i="4"/>
  <c r="O580" i="4"/>
  <c r="C580" i="4"/>
  <c r="O579" i="4"/>
  <c r="C579" i="4"/>
  <c r="O578" i="4"/>
  <c r="C578" i="4"/>
  <c r="O577" i="4"/>
  <c r="C577" i="4"/>
  <c r="O576" i="4"/>
  <c r="C576" i="4"/>
  <c r="O575" i="4"/>
  <c r="C575" i="4"/>
  <c r="O574" i="4"/>
  <c r="C574" i="4"/>
  <c r="O573" i="4"/>
  <c r="C573" i="4"/>
  <c r="O572" i="4"/>
  <c r="C572" i="4"/>
  <c r="O571" i="4"/>
  <c r="C571" i="4"/>
  <c r="O570" i="4"/>
  <c r="C570" i="4"/>
  <c r="O569" i="4"/>
  <c r="C569" i="4"/>
  <c r="O568" i="4"/>
  <c r="C568" i="4"/>
  <c r="O567" i="4"/>
  <c r="C567" i="4"/>
  <c r="O566" i="4"/>
  <c r="C566" i="4"/>
  <c r="O565" i="4"/>
  <c r="C565" i="4"/>
  <c r="O564" i="4"/>
  <c r="C564" i="4"/>
  <c r="O563" i="4"/>
  <c r="C563" i="4"/>
  <c r="O562" i="4"/>
  <c r="C562" i="4"/>
  <c r="O561" i="4"/>
  <c r="C561" i="4"/>
  <c r="O560" i="4"/>
  <c r="C560" i="4"/>
  <c r="O559" i="4"/>
  <c r="C559" i="4"/>
  <c r="O558" i="4"/>
  <c r="C558" i="4"/>
  <c r="O557" i="4"/>
  <c r="C557" i="4"/>
  <c r="O556" i="4"/>
  <c r="C556" i="4"/>
  <c r="O555" i="4"/>
  <c r="C555" i="4"/>
  <c r="O554" i="4"/>
  <c r="C554" i="4"/>
  <c r="O553" i="4"/>
  <c r="C553" i="4"/>
  <c r="O552" i="4"/>
  <c r="C552" i="4"/>
  <c r="O551" i="4"/>
  <c r="C551" i="4"/>
  <c r="O550" i="4"/>
  <c r="C550" i="4"/>
  <c r="O549" i="4"/>
  <c r="C549" i="4"/>
  <c r="O548" i="4"/>
  <c r="C548" i="4"/>
  <c r="O547" i="4"/>
  <c r="C547" i="4"/>
  <c r="O546" i="4"/>
  <c r="C546" i="4"/>
  <c r="O545" i="4"/>
  <c r="N542" i="4"/>
  <c r="O532" i="4"/>
  <c r="C532" i="4"/>
  <c r="O531" i="4"/>
  <c r="C531" i="4"/>
  <c r="O530" i="4"/>
  <c r="C530" i="4"/>
  <c r="O529" i="4"/>
  <c r="C529" i="4"/>
  <c r="O528" i="4"/>
  <c r="C528" i="4"/>
  <c r="O527" i="4"/>
  <c r="C527" i="4"/>
  <c r="O526" i="4"/>
  <c r="C526" i="4"/>
  <c r="O525" i="4"/>
  <c r="C525" i="4"/>
  <c r="O524" i="4"/>
  <c r="C524" i="4"/>
  <c r="O523" i="4"/>
  <c r="C523" i="4"/>
  <c r="O522" i="4"/>
  <c r="C522" i="4"/>
  <c r="O521" i="4"/>
  <c r="C521" i="4"/>
  <c r="O520" i="4"/>
  <c r="C520" i="4"/>
  <c r="O519" i="4"/>
  <c r="C519" i="4"/>
  <c r="O518" i="4"/>
  <c r="C518" i="4"/>
  <c r="O517" i="4"/>
  <c r="C517" i="4"/>
  <c r="O516" i="4"/>
  <c r="C516" i="4"/>
  <c r="O515" i="4"/>
  <c r="C515" i="4"/>
  <c r="O514" i="4"/>
  <c r="C514" i="4"/>
  <c r="O513" i="4"/>
  <c r="C513" i="4"/>
  <c r="O512" i="4"/>
  <c r="C512" i="4"/>
  <c r="O511" i="4"/>
  <c r="C511" i="4"/>
  <c r="O510" i="4"/>
  <c r="C510" i="4"/>
  <c r="O509" i="4"/>
  <c r="C509" i="4"/>
  <c r="O508" i="4"/>
  <c r="C508" i="4"/>
  <c r="O507" i="4"/>
  <c r="C507" i="4"/>
  <c r="O506" i="4"/>
  <c r="C506" i="4"/>
  <c r="O505" i="4"/>
  <c r="C505" i="4"/>
  <c r="O504" i="4"/>
  <c r="C504" i="4"/>
  <c r="O503" i="4"/>
  <c r="C503" i="4"/>
  <c r="O502" i="4"/>
  <c r="C502" i="4"/>
  <c r="O501" i="4"/>
  <c r="C501" i="4"/>
  <c r="O500" i="4"/>
  <c r="C500" i="4"/>
  <c r="O499" i="4"/>
  <c r="C499" i="4"/>
  <c r="O498" i="4"/>
  <c r="C498" i="4"/>
  <c r="O497" i="4"/>
  <c r="C497" i="4"/>
  <c r="O496" i="4"/>
  <c r="C496" i="4"/>
  <c r="O495" i="4"/>
  <c r="C495" i="4"/>
  <c r="O494" i="4"/>
  <c r="C494" i="4"/>
  <c r="O493" i="4"/>
  <c r="N490" i="4"/>
  <c r="O480" i="4"/>
  <c r="C480" i="4"/>
  <c r="O479" i="4"/>
  <c r="C479" i="4"/>
  <c r="O478" i="4"/>
  <c r="C478" i="4"/>
  <c r="O477" i="4"/>
  <c r="C477" i="4"/>
  <c r="O476" i="4"/>
  <c r="C476" i="4"/>
  <c r="O475" i="4"/>
  <c r="C475" i="4"/>
  <c r="O474" i="4"/>
  <c r="C474" i="4"/>
  <c r="O473" i="4"/>
  <c r="C473" i="4"/>
  <c r="O472" i="4"/>
  <c r="C472" i="4"/>
  <c r="O471" i="4"/>
  <c r="C471" i="4"/>
  <c r="O470" i="4"/>
  <c r="C470" i="4"/>
  <c r="O469" i="4"/>
  <c r="C469" i="4"/>
  <c r="O468" i="4"/>
  <c r="C468" i="4"/>
  <c r="O467" i="4"/>
  <c r="C467" i="4"/>
  <c r="O466" i="4"/>
  <c r="C466" i="4"/>
  <c r="O465" i="4"/>
  <c r="C465" i="4"/>
  <c r="O464" i="4"/>
  <c r="C464" i="4"/>
  <c r="O463" i="4"/>
  <c r="C463" i="4"/>
  <c r="O462" i="4"/>
  <c r="C462" i="4"/>
  <c r="O461" i="4"/>
  <c r="C461" i="4"/>
  <c r="O460" i="4"/>
  <c r="C460" i="4"/>
  <c r="O459" i="4"/>
  <c r="C459" i="4"/>
  <c r="O458" i="4"/>
  <c r="C458" i="4"/>
  <c r="O457" i="4"/>
  <c r="C457" i="4"/>
  <c r="O456" i="4"/>
  <c r="C456" i="4"/>
  <c r="O455" i="4"/>
  <c r="C455" i="4"/>
  <c r="O454" i="4"/>
  <c r="C454" i="4"/>
  <c r="O453" i="4"/>
  <c r="C453" i="4"/>
  <c r="O452" i="4"/>
  <c r="C452" i="4"/>
  <c r="O451" i="4"/>
  <c r="C451" i="4"/>
  <c r="O450" i="4"/>
  <c r="C450" i="4"/>
  <c r="O449" i="4"/>
  <c r="C449" i="4"/>
  <c r="O448" i="4"/>
  <c r="C448" i="4"/>
  <c r="O447" i="4"/>
  <c r="C447" i="4"/>
  <c r="O446" i="4"/>
  <c r="C446" i="4"/>
  <c r="O445" i="4"/>
  <c r="C445" i="4"/>
  <c r="O444" i="4"/>
  <c r="C444" i="4"/>
  <c r="O443" i="4"/>
  <c r="C443" i="4"/>
  <c r="O442" i="4"/>
  <c r="C442" i="4"/>
  <c r="O441" i="4"/>
  <c r="C441" i="4"/>
  <c r="N438" i="4"/>
  <c r="O428" i="4"/>
  <c r="C428" i="4"/>
  <c r="O427" i="4"/>
  <c r="C427" i="4"/>
  <c r="O426" i="4"/>
  <c r="C426" i="4"/>
  <c r="O425" i="4"/>
  <c r="C425" i="4"/>
  <c r="O424" i="4"/>
  <c r="C424" i="4"/>
  <c r="O423" i="4"/>
  <c r="C423" i="4"/>
  <c r="O422" i="4"/>
  <c r="C422" i="4"/>
  <c r="O421" i="4"/>
  <c r="C421" i="4"/>
  <c r="O420" i="4"/>
  <c r="C420" i="4"/>
  <c r="O419" i="4"/>
  <c r="C419" i="4"/>
  <c r="O418" i="4"/>
  <c r="C418" i="4"/>
  <c r="O417" i="4"/>
  <c r="C417" i="4"/>
  <c r="O416" i="4"/>
  <c r="C416" i="4"/>
  <c r="O415" i="4"/>
  <c r="C415" i="4"/>
  <c r="O414" i="4"/>
  <c r="C414" i="4"/>
  <c r="O413" i="4"/>
  <c r="C413" i="4"/>
  <c r="O412" i="4"/>
  <c r="C412" i="4"/>
  <c r="O411" i="4"/>
  <c r="C411" i="4"/>
  <c r="O410" i="4"/>
  <c r="C410" i="4"/>
  <c r="O409" i="4"/>
  <c r="C409" i="4"/>
  <c r="O408" i="4"/>
  <c r="C408" i="4"/>
  <c r="O407" i="4"/>
  <c r="C407" i="4"/>
  <c r="O406" i="4"/>
  <c r="C406" i="4"/>
  <c r="O405" i="4"/>
  <c r="C405" i="4"/>
  <c r="O404" i="4"/>
  <c r="C404" i="4"/>
  <c r="O403" i="4"/>
  <c r="C403" i="4"/>
  <c r="O402" i="4"/>
  <c r="C402" i="4"/>
  <c r="O401" i="4"/>
  <c r="C401" i="4"/>
  <c r="O400" i="4"/>
  <c r="C400" i="4"/>
  <c r="O399" i="4"/>
  <c r="C399" i="4"/>
  <c r="O398" i="4"/>
  <c r="C398" i="4"/>
  <c r="O397" i="4"/>
  <c r="C397" i="4"/>
  <c r="O396" i="4"/>
  <c r="C396" i="4"/>
  <c r="O395" i="4"/>
  <c r="C395" i="4"/>
  <c r="O394" i="4"/>
  <c r="C394" i="4"/>
  <c r="O393" i="4"/>
  <c r="C393" i="4"/>
  <c r="O392" i="4"/>
  <c r="C392" i="4"/>
  <c r="O391" i="4"/>
  <c r="C391" i="4"/>
  <c r="O390" i="4"/>
  <c r="C390" i="4"/>
  <c r="O389" i="4"/>
  <c r="C389" i="4"/>
  <c r="N386" i="4"/>
  <c r="O376" i="4"/>
  <c r="C376" i="4"/>
  <c r="O375" i="4"/>
  <c r="C375" i="4"/>
  <c r="O374" i="4"/>
  <c r="C374" i="4"/>
  <c r="O373" i="4"/>
  <c r="C373" i="4"/>
  <c r="O372" i="4"/>
  <c r="C372" i="4"/>
  <c r="O371" i="4"/>
  <c r="C371" i="4"/>
  <c r="O370" i="4"/>
  <c r="C370" i="4"/>
  <c r="O369" i="4"/>
  <c r="C369" i="4"/>
  <c r="O368" i="4"/>
  <c r="C368" i="4"/>
  <c r="O367" i="4"/>
  <c r="C367" i="4"/>
  <c r="O366" i="4"/>
  <c r="C366" i="4"/>
  <c r="O365" i="4"/>
  <c r="C365" i="4"/>
  <c r="O364" i="4"/>
  <c r="C364" i="4"/>
  <c r="O363" i="4"/>
  <c r="C363" i="4"/>
  <c r="O362" i="4"/>
  <c r="C362" i="4"/>
  <c r="O361" i="4"/>
  <c r="C361" i="4"/>
  <c r="O360" i="4"/>
  <c r="C360" i="4"/>
  <c r="O359" i="4"/>
  <c r="C359" i="4"/>
  <c r="O358" i="4"/>
  <c r="C358" i="4"/>
  <c r="O357" i="4"/>
  <c r="C357" i="4"/>
  <c r="O356" i="4"/>
  <c r="C356" i="4"/>
  <c r="O355" i="4"/>
  <c r="C355" i="4"/>
  <c r="O354" i="4"/>
  <c r="C354" i="4"/>
  <c r="O353" i="4"/>
  <c r="C353" i="4"/>
  <c r="O352" i="4"/>
  <c r="C352" i="4"/>
  <c r="O351" i="4"/>
  <c r="C351" i="4"/>
  <c r="O350" i="4"/>
  <c r="C350" i="4"/>
  <c r="O349" i="4"/>
  <c r="C349" i="4"/>
  <c r="O348" i="4"/>
  <c r="C348" i="4"/>
  <c r="O347" i="4"/>
  <c r="C347" i="4"/>
  <c r="O346" i="4"/>
  <c r="C346" i="4"/>
  <c r="O345" i="4"/>
  <c r="C345" i="4"/>
  <c r="O344" i="4"/>
  <c r="C344" i="4"/>
  <c r="O343" i="4"/>
  <c r="C343" i="4"/>
  <c r="O342" i="4"/>
  <c r="C342" i="4"/>
  <c r="O341" i="4"/>
  <c r="C341" i="4"/>
  <c r="O340" i="4"/>
  <c r="C340" i="4"/>
  <c r="O339" i="4"/>
  <c r="C339" i="4"/>
  <c r="O338" i="4"/>
  <c r="C338" i="4"/>
  <c r="O337" i="4"/>
  <c r="C337" i="4"/>
  <c r="N334" i="4"/>
  <c r="O324" i="4"/>
  <c r="C324" i="4"/>
  <c r="O323" i="4"/>
  <c r="C323" i="4"/>
  <c r="O322" i="4"/>
  <c r="C322" i="4"/>
  <c r="O321" i="4"/>
  <c r="C321" i="4"/>
  <c r="O320" i="4"/>
  <c r="C320" i="4"/>
  <c r="O319" i="4"/>
  <c r="C319" i="4"/>
  <c r="O318" i="4"/>
  <c r="C318" i="4"/>
  <c r="O317" i="4"/>
  <c r="C317" i="4"/>
  <c r="O316" i="4"/>
  <c r="C316" i="4"/>
  <c r="O315" i="4"/>
  <c r="C315" i="4"/>
  <c r="O314" i="4"/>
  <c r="C314" i="4"/>
  <c r="O313" i="4"/>
  <c r="C313" i="4"/>
  <c r="O312" i="4"/>
  <c r="C312" i="4"/>
  <c r="O311" i="4"/>
  <c r="C311" i="4"/>
  <c r="O310" i="4"/>
  <c r="C310" i="4"/>
  <c r="O309" i="4"/>
  <c r="C309" i="4"/>
  <c r="O308" i="4"/>
  <c r="C308" i="4"/>
  <c r="O307" i="4"/>
  <c r="C307" i="4"/>
  <c r="O306" i="4"/>
  <c r="C306" i="4"/>
  <c r="O305" i="4"/>
  <c r="C305" i="4"/>
  <c r="O304" i="4"/>
  <c r="C304" i="4"/>
  <c r="O303" i="4"/>
  <c r="C303" i="4"/>
  <c r="O302" i="4"/>
  <c r="C302" i="4"/>
  <c r="O301" i="4"/>
  <c r="C301" i="4"/>
  <c r="O300" i="4"/>
  <c r="C300" i="4"/>
  <c r="O299" i="4"/>
  <c r="C299" i="4"/>
  <c r="O298" i="4"/>
  <c r="C298" i="4"/>
  <c r="O297" i="4"/>
  <c r="C297" i="4"/>
  <c r="O296" i="4"/>
  <c r="C296" i="4"/>
  <c r="O295" i="4"/>
  <c r="C295" i="4"/>
  <c r="O294" i="4"/>
  <c r="C294" i="4"/>
  <c r="O293" i="4"/>
  <c r="C293" i="4"/>
  <c r="O292" i="4"/>
  <c r="C292" i="4"/>
  <c r="O291" i="4"/>
  <c r="C291" i="4"/>
  <c r="O290" i="4"/>
  <c r="C290" i="4"/>
  <c r="O289" i="4"/>
  <c r="C289" i="4"/>
  <c r="O288" i="4"/>
  <c r="C288" i="4"/>
  <c r="O287" i="4"/>
  <c r="C287" i="4"/>
  <c r="O286" i="4"/>
  <c r="C286" i="4"/>
  <c r="O285" i="4"/>
  <c r="C285" i="4"/>
  <c r="N282" i="4"/>
  <c r="O272" i="4"/>
  <c r="C272" i="4"/>
  <c r="O271" i="4"/>
  <c r="C271" i="4"/>
  <c r="O270" i="4"/>
  <c r="C270" i="4"/>
  <c r="O269" i="4"/>
  <c r="C269" i="4"/>
  <c r="O268" i="4"/>
  <c r="C268" i="4"/>
  <c r="O267" i="4"/>
  <c r="C267" i="4"/>
  <c r="O266" i="4"/>
  <c r="C266" i="4"/>
  <c r="O265" i="4"/>
  <c r="C265" i="4"/>
  <c r="O264" i="4"/>
  <c r="C264" i="4"/>
  <c r="O263" i="4"/>
  <c r="C263" i="4"/>
  <c r="O262" i="4"/>
  <c r="C262" i="4"/>
  <c r="O261" i="4"/>
  <c r="C261" i="4"/>
  <c r="O260" i="4"/>
  <c r="C260" i="4"/>
  <c r="O259" i="4"/>
  <c r="C259" i="4"/>
  <c r="O258" i="4"/>
  <c r="C258" i="4"/>
  <c r="O257" i="4"/>
  <c r="C257" i="4"/>
  <c r="O256" i="4"/>
  <c r="C256" i="4"/>
  <c r="O255" i="4"/>
  <c r="C255" i="4"/>
  <c r="O254" i="4"/>
  <c r="C254" i="4"/>
  <c r="O253" i="4"/>
  <c r="C253" i="4"/>
  <c r="O252" i="4"/>
  <c r="C252" i="4"/>
  <c r="O251" i="4"/>
  <c r="C251" i="4"/>
  <c r="O250" i="4"/>
  <c r="C250" i="4"/>
  <c r="O249" i="4"/>
  <c r="C249" i="4"/>
  <c r="O248" i="4"/>
  <c r="C248" i="4"/>
  <c r="O247" i="4"/>
  <c r="C247" i="4"/>
  <c r="O246" i="4"/>
  <c r="C246" i="4"/>
  <c r="O245" i="4"/>
  <c r="C245" i="4"/>
  <c r="O244" i="4"/>
  <c r="C244" i="4"/>
  <c r="O243" i="4"/>
  <c r="C243" i="4"/>
  <c r="O242" i="4"/>
  <c r="C242" i="4"/>
  <c r="O241" i="4"/>
  <c r="C241" i="4"/>
  <c r="O240" i="4"/>
  <c r="C240" i="4"/>
  <c r="O239" i="4"/>
  <c r="C239" i="4"/>
  <c r="O238" i="4"/>
  <c r="C238" i="4"/>
  <c r="O237" i="4"/>
  <c r="C237" i="4"/>
  <c r="O236" i="4"/>
  <c r="C236" i="4"/>
  <c r="O235" i="4"/>
  <c r="C235" i="4"/>
  <c r="O234" i="4"/>
  <c r="C234" i="4"/>
  <c r="O233" i="4"/>
  <c r="C233" i="4"/>
  <c r="N230" i="4"/>
  <c r="O220" i="4"/>
  <c r="C220" i="4"/>
  <c r="O219" i="4"/>
  <c r="C219" i="4"/>
  <c r="O218" i="4"/>
  <c r="C218" i="4"/>
  <c r="O217" i="4"/>
  <c r="C217" i="4"/>
  <c r="O216" i="4"/>
  <c r="C216" i="4"/>
  <c r="O215" i="4"/>
  <c r="C215" i="4"/>
  <c r="O214" i="4"/>
  <c r="C214" i="4"/>
  <c r="O213" i="4"/>
  <c r="C213" i="4"/>
  <c r="O212" i="4"/>
  <c r="C212" i="4"/>
  <c r="O211" i="4"/>
  <c r="C211" i="4"/>
  <c r="O210" i="4"/>
  <c r="C210" i="4"/>
  <c r="O209" i="4"/>
  <c r="C209" i="4"/>
  <c r="O208" i="4"/>
  <c r="C208" i="4"/>
  <c r="O207" i="4"/>
  <c r="C207" i="4"/>
  <c r="O206" i="4"/>
  <c r="C206" i="4"/>
  <c r="O205" i="4"/>
  <c r="C205" i="4"/>
  <c r="O204" i="4"/>
  <c r="C204" i="4"/>
  <c r="O203" i="4"/>
  <c r="C203" i="4"/>
  <c r="O202" i="4"/>
  <c r="C202" i="4"/>
  <c r="O201" i="4"/>
  <c r="C201" i="4"/>
  <c r="O200" i="4"/>
  <c r="C200" i="4"/>
  <c r="O199" i="4"/>
  <c r="C199" i="4"/>
  <c r="O198" i="4"/>
  <c r="C198" i="4"/>
  <c r="O197" i="4"/>
  <c r="C197" i="4"/>
  <c r="O196" i="4"/>
  <c r="C196" i="4"/>
  <c r="O195" i="4"/>
  <c r="C195" i="4"/>
  <c r="O194" i="4"/>
  <c r="C194" i="4"/>
  <c r="O193" i="4"/>
  <c r="C193" i="4"/>
  <c r="O192" i="4"/>
  <c r="C192" i="4"/>
  <c r="O191" i="4"/>
  <c r="C191" i="4"/>
  <c r="O190" i="4"/>
  <c r="C190" i="4"/>
  <c r="O189" i="4"/>
  <c r="C189" i="4"/>
  <c r="O188" i="4"/>
  <c r="C188" i="4"/>
  <c r="O187" i="4"/>
  <c r="C187" i="4"/>
  <c r="O186" i="4"/>
  <c r="C186" i="4"/>
  <c r="O185" i="4"/>
  <c r="C185" i="4"/>
  <c r="O184" i="4"/>
  <c r="C184" i="4"/>
  <c r="O183" i="4"/>
  <c r="C183" i="4"/>
  <c r="O182" i="4"/>
  <c r="C182" i="4"/>
  <c r="O181" i="4"/>
  <c r="C181" i="4"/>
  <c r="N178" i="4"/>
  <c r="O168" i="4"/>
  <c r="C168" i="4"/>
  <c r="O167" i="4"/>
  <c r="C167" i="4"/>
  <c r="O166" i="4"/>
  <c r="C166" i="4"/>
  <c r="O165" i="4"/>
  <c r="C165" i="4"/>
  <c r="O164" i="4"/>
  <c r="C164" i="4"/>
  <c r="O163" i="4"/>
  <c r="C163" i="4"/>
  <c r="O162" i="4"/>
  <c r="C162" i="4"/>
  <c r="O161" i="4"/>
  <c r="C161" i="4"/>
  <c r="O160" i="4"/>
  <c r="C160" i="4"/>
  <c r="O159" i="4"/>
  <c r="C159" i="4"/>
  <c r="O158" i="4"/>
  <c r="C158" i="4"/>
  <c r="O157" i="4"/>
  <c r="C157" i="4"/>
  <c r="O156" i="4"/>
  <c r="C156" i="4"/>
  <c r="O155" i="4"/>
  <c r="C155" i="4"/>
  <c r="O154" i="4"/>
  <c r="C154" i="4"/>
  <c r="O153" i="4"/>
  <c r="C153" i="4"/>
  <c r="O152" i="4"/>
  <c r="C152" i="4"/>
  <c r="O151" i="4"/>
  <c r="C151" i="4"/>
  <c r="O150" i="4"/>
  <c r="C150" i="4"/>
  <c r="O149" i="4"/>
  <c r="C149" i="4"/>
  <c r="O148" i="4"/>
  <c r="C148" i="4"/>
  <c r="O147" i="4"/>
  <c r="C147" i="4"/>
  <c r="O146" i="4"/>
  <c r="C146" i="4"/>
  <c r="O145" i="4"/>
  <c r="O144" i="4"/>
  <c r="O143" i="4"/>
  <c r="C143" i="4"/>
  <c r="N140" i="4"/>
  <c r="O130" i="4"/>
  <c r="C130" i="4"/>
  <c r="O129" i="4"/>
  <c r="C129" i="4"/>
  <c r="O128" i="4"/>
  <c r="C128" i="4"/>
  <c r="O127" i="4"/>
  <c r="C127" i="4"/>
  <c r="O126" i="4"/>
  <c r="C126" i="4"/>
  <c r="O125" i="4"/>
  <c r="C125" i="4"/>
  <c r="O124" i="4"/>
  <c r="C124" i="4"/>
  <c r="O123" i="4"/>
  <c r="C123" i="4"/>
  <c r="S122" i="4"/>
  <c r="S123" i="4"/>
  <c r="R122" i="4"/>
  <c r="R123" i="4"/>
  <c r="Q122" i="4"/>
  <c r="Q123" i="4"/>
  <c r="P122" i="4"/>
  <c r="P123" i="4"/>
  <c r="O122" i="4"/>
  <c r="C122" i="4"/>
  <c r="O121" i="4"/>
  <c r="C121" i="4"/>
  <c r="S120" i="4"/>
  <c r="S121" i="4"/>
  <c r="R120" i="4"/>
  <c r="R121" i="4"/>
  <c r="Q120" i="4"/>
  <c r="Q121" i="4"/>
  <c r="P120" i="4"/>
  <c r="P121" i="4"/>
  <c r="O120" i="4"/>
  <c r="C120" i="4"/>
  <c r="O119" i="4"/>
  <c r="C119" i="4"/>
  <c r="O118" i="4"/>
  <c r="C118" i="4"/>
  <c r="O117" i="4"/>
  <c r="C117" i="4"/>
  <c r="S116" i="4"/>
  <c r="R116" i="4"/>
  <c r="Q116" i="4"/>
  <c r="P116" i="4"/>
  <c r="O116" i="4"/>
  <c r="C116" i="4"/>
  <c r="S115" i="4"/>
  <c r="R115" i="4"/>
  <c r="Q115" i="4"/>
  <c r="P115" i="4"/>
  <c r="O115" i="4"/>
  <c r="C115" i="4"/>
  <c r="O114" i="4"/>
  <c r="C114" i="4"/>
  <c r="S113" i="4"/>
  <c r="R113" i="4"/>
  <c r="Q113" i="4"/>
  <c r="P113" i="4"/>
  <c r="O113" i="4"/>
  <c r="C113" i="4"/>
  <c r="S112" i="4"/>
  <c r="R112" i="4"/>
  <c r="Q112" i="4"/>
  <c r="P112" i="4"/>
  <c r="O112" i="4"/>
  <c r="C112" i="4"/>
  <c r="S111" i="4"/>
  <c r="R111" i="4"/>
  <c r="Q111" i="4"/>
  <c r="P111" i="4"/>
  <c r="O111" i="4"/>
  <c r="C111" i="4"/>
  <c r="O110" i="4"/>
  <c r="C110" i="4"/>
  <c r="S109" i="4"/>
  <c r="R109" i="4"/>
  <c r="Q109" i="4"/>
  <c r="P109" i="4"/>
  <c r="O109" i="4"/>
  <c r="C109" i="4"/>
  <c r="S108" i="4"/>
  <c r="R108" i="4"/>
  <c r="Q108" i="4"/>
  <c r="P108" i="4"/>
  <c r="O108" i="4"/>
  <c r="C108" i="4"/>
  <c r="O107" i="4"/>
  <c r="O106" i="4"/>
  <c r="C106" i="4"/>
  <c r="N102" i="4"/>
  <c r="C98" i="4"/>
  <c r="G97" i="4"/>
  <c r="W89" i="4"/>
  <c r="V89" i="4"/>
  <c r="F85" i="4"/>
  <c r="W83" i="4"/>
  <c r="V83" i="4"/>
  <c r="S83" i="4"/>
  <c r="R83" i="4"/>
  <c r="P83" i="4"/>
  <c r="F83" i="4"/>
  <c r="F79" i="4"/>
  <c r="H69" i="4"/>
  <c r="H64" i="4"/>
  <c r="H59" i="4"/>
  <c r="N54" i="4"/>
  <c r="H54" i="4"/>
  <c r="N51" i="4"/>
  <c r="N41" i="4"/>
  <c r="N12" i="4"/>
  <c r="G9" i="4"/>
  <c r="D8" i="4"/>
  <c r="L7" i="4"/>
  <c r="D7" i="4"/>
  <c r="L6" i="4"/>
  <c r="D6" i="4"/>
  <c r="L5" i="4"/>
  <c r="D5" i="4"/>
  <c r="C107" i="4"/>
  <c r="C144" i="4"/>
  <c r="C145" i="4"/>
  <c r="BD791" i="3"/>
  <c r="AR718" i="3"/>
  <c r="O593" i="4"/>
  <c r="C597" i="4"/>
  <c r="C598" i="4"/>
  <c r="O333" i="4"/>
  <c r="O281" i="4"/>
  <c r="O229" i="4"/>
  <c r="O177" i="4"/>
  <c r="S110" i="4"/>
  <c r="S124" i="4"/>
  <c r="O101" i="4"/>
  <c r="P110" i="4"/>
  <c r="P124" i="4"/>
  <c r="O139" i="4"/>
  <c r="Q110" i="4"/>
  <c r="Q124" i="4"/>
  <c r="F77" i="4"/>
  <c r="O437" i="4"/>
  <c r="O489" i="4"/>
  <c r="C493" i="4"/>
  <c r="R110" i="4"/>
  <c r="O385" i="4"/>
  <c r="C545" i="4"/>
  <c r="O541" i="4"/>
  <c r="R148" i="4"/>
  <c r="F75" i="4"/>
  <c r="AF120" i="1"/>
  <c r="AE120" i="1"/>
  <c r="AD120" i="1"/>
  <c r="AB120" i="1"/>
  <c r="F62" i="1"/>
  <c r="F61" i="1"/>
  <c r="F60" i="1"/>
  <c r="F59" i="1"/>
  <c r="F58" i="1"/>
  <c r="F57" i="1"/>
  <c r="H14" i="1"/>
  <c r="AF126" i="1"/>
  <c r="AE126" i="1"/>
  <c r="O131" i="1"/>
  <c r="O130" i="1"/>
  <c r="O129" i="1"/>
  <c r="O128" i="1"/>
  <c r="O127" i="1"/>
  <c r="O124" i="1"/>
  <c r="O123" i="1"/>
  <c r="O132" i="1"/>
  <c r="O126" i="1"/>
  <c r="O125" i="1"/>
  <c r="C123" i="1"/>
  <c r="C124" i="1"/>
  <c r="O106" i="1"/>
  <c r="O105" i="1"/>
  <c r="O104" i="1"/>
  <c r="O103" i="1"/>
  <c r="C103" i="1"/>
  <c r="O79" i="1"/>
  <c r="O78" i="1"/>
  <c r="O77" i="1"/>
  <c r="O76" i="1"/>
  <c r="O70" i="1"/>
  <c r="O67" i="1" s="1"/>
  <c r="O75" i="1"/>
  <c r="O74" i="1"/>
  <c r="O73" i="1"/>
  <c r="O72" i="1"/>
  <c r="O71" i="1"/>
  <c r="AE73" i="1"/>
  <c r="C70" i="1"/>
  <c r="Q171" i="1"/>
  <c r="X171" i="1" s="1"/>
  <c r="Q180" i="1"/>
  <c r="Z180" i="1" s="1"/>
  <c r="Q189" i="1"/>
  <c r="Q190" i="1" s="1"/>
  <c r="Q198" i="1"/>
  <c r="X198" i="1" s="1"/>
  <c r="Q207" i="1"/>
  <c r="V207" i="1" s="1"/>
  <c r="Q216" i="1"/>
  <c r="Q217" i="1" s="1"/>
  <c r="Q225" i="1"/>
  <c r="X225" i="1" s="1"/>
  <c r="Q234" i="1"/>
  <c r="X234" i="1" s="1"/>
  <c r="Q243" i="1"/>
  <c r="Z243" i="1" s="1"/>
  <c r="Q252" i="1"/>
  <c r="Z252" i="1" s="1"/>
  <c r="O120" i="1"/>
  <c r="C104" i="1"/>
  <c r="C105" i="1"/>
  <c r="C125" i="1"/>
  <c r="C126" i="1"/>
  <c r="C127" i="1"/>
  <c r="C128" i="1"/>
  <c r="C129" i="1"/>
  <c r="C130" i="1"/>
  <c r="C131" i="1"/>
  <c r="C132" i="1"/>
  <c r="C71" i="1"/>
  <c r="C72" i="1"/>
  <c r="C73" i="1"/>
  <c r="C74" i="1"/>
  <c r="C75" i="1"/>
  <c r="C76" i="1"/>
  <c r="C77" i="1"/>
  <c r="C78" i="1"/>
  <c r="C79" i="1"/>
  <c r="V243" i="1"/>
  <c r="X216" i="1"/>
  <c r="Q173" i="1"/>
  <c r="V234" i="1"/>
  <c r="X189" i="1"/>
  <c r="AF54" i="1"/>
  <c r="O63" i="1"/>
  <c r="C53" i="1"/>
  <c r="O62" i="1"/>
  <c r="C62" i="1" s="1"/>
  <c r="O61" i="1"/>
  <c r="O60" i="1"/>
  <c r="C60" i="1" s="1"/>
  <c r="O59" i="1"/>
  <c r="O58" i="1"/>
  <c r="C58" i="1" s="1"/>
  <c r="O57" i="1"/>
  <c r="O56" i="1"/>
  <c r="C56" i="1" s="1"/>
  <c r="O55" i="1"/>
  <c r="O54" i="1"/>
  <c r="C54" i="1" s="1"/>
  <c r="O53" i="1"/>
  <c r="Q157" i="1"/>
  <c r="X157" i="1" s="1"/>
  <c r="Q148" i="1"/>
  <c r="Q150" i="1" s="1"/>
  <c r="Q139" i="1"/>
  <c r="Q141" i="1" s="1"/>
  <c r="Q123" i="1"/>
  <c r="Q113" i="1"/>
  <c r="Q115" i="1" s="1"/>
  <c r="Q102" i="1"/>
  <c r="X91" i="1"/>
  <c r="Q82" i="1"/>
  <c r="X82" i="1" s="1"/>
  <c r="Q60" i="1"/>
  <c r="Q62" i="1" s="1"/>
  <c r="V60" i="1"/>
  <c r="Q51" i="1"/>
  <c r="R173" i="1"/>
  <c r="C55" i="1"/>
  <c r="V123" i="1"/>
  <c r="Z123" i="1"/>
  <c r="Q93" i="1"/>
  <c r="V91" i="1"/>
  <c r="Z91" i="1"/>
  <c r="X60" i="1"/>
  <c r="R93" i="1"/>
  <c r="T93" i="1"/>
  <c r="W93" i="1"/>
  <c r="V93" i="1"/>
  <c r="Q94" i="1"/>
  <c r="R94" i="1"/>
  <c r="X93" i="1"/>
  <c r="Y93" i="1"/>
  <c r="T94" i="1"/>
  <c r="W94" i="1"/>
  <c r="V94" i="1"/>
  <c r="X94" i="1"/>
  <c r="Y94" i="1"/>
  <c r="Z93" i="1"/>
  <c r="Q95" i="1"/>
  <c r="R95" i="1"/>
  <c r="Z94" i="1"/>
  <c r="AA94" i="1"/>
  <c r="AA93" i="1"/>
  <c r="T95" i="1"/>
  <c r="Q99" i="1"/>
  <c r="AB139" i="4"/>
  <c r="I53" i="1"/>
  <c r="J53" i="1"/>
  <c r="I61" i="1"/>
  <c r="J61" i="1" s="1"/>
  <c r="W95" i="1"/>
  <c r="V95" i="1"/>
  <c r="X95" i="1"/>
  <c r="Y95" i="1"/>
  <c r="T99" i="1"/>
  <c r="W99" i="1"/>
  <c r="V99" i="1"/>
  <c r="R99" i="1"/>
  <c r="E7" i="3"/>
  <c r="I55" i="1"/>
  <c r="J55" i="1"/>
  <c r="I56" i="1"/>
  <c r="J56" i="1" s="1"/>
  <c r="I58" i="1"/>
  <c r="J58" i="1" s="1"/>
  <c r="Z95" i="1"/>
  <c r="AA95" i="1"/>
  <c r="X99" i="1"/>
  <c r="Y99" i="1"/>
  <c r="Z99" i="1"/>
  <c r="AA99" i="1"/>
  <c r="E4" i="3"/>
  <c r="E3" i="3"/>
  <c r="I57" i="1"/>
  <c r="J57" i="1" s="1"/>
  <c r="AA100" i="1"/>
  <c r="F54" i="1"/>
  <c r="Z100" i="1"/>
  <c r="Z101" i="1"/>
  <c r="F56" i="1"/>
  <c r="Y100" i="1"/>
  <c r="E500" i="3"/>
  <c r="E499" i="3"/>
  <c r="E498" i="3"/>
  <c r="E497" i="3"/>
  <c r="E496" i="3"/>
  <c r="E495" i="3"/>
  <c r="E494" i="3"/>
  <c r="E493" i="3"/>
  <c r="E492" i="3"/>
  <c r="E491" i="3"/>
  <c r="E490" i="3"/>
  <c r="E489" i="3"/>
  <c r="E488" i="3"/>
  <c r="E487" i="3"/>
  <c r="E486" i="3"/>
  <c r="E485" i="3"/>
  <c r="E484" i="3"/>
  <c r="E483" i="3"/>
  <c r="E482" i="3"/>
  <c r="E481" i="3"/>
  <c r="E480" i="3"/>
  <c r="E479" i="3"/>
  <c r="E478" i="3"/>
  <c r="E477" i="3"/>
  <c r="E476" i="3"/>
  <c r="E475" i="3"/>
  <c r="E474" i="3"/>
  <c r="E473" i="3"/>
  <c r="E472" i="3"/>
  <c r="E471" i="3"/>
  <c r="E470" i="3"/>
  <c r="E469" i="3"/>
  <c r="E468" i="3"/>
  <c r="E467" i="3"/>
  <c r="E466" i="3"/>
  <c r="E465" i="3"/>
  <c r="E464" i="3"/>
  <c r="E463" i="3"/>
  <c r="E462" i="3"/>
  <c r="E461" i="3"/>
  <c r="E460" i="3"/>
  <c r="E459" i="3"/>
  <c r="E458" i="3"/>
  <c r="E457" i="3"/>
  <c r="E456" i="3"/>
  <c r="E455" i="3"/>
  <c r="E454" i="3"/>
  <c r="E453" i="3"/>
  <c r="E452" i="3"/>
  <c r="E451" i="3"/>
  <c r="E450" i="3"/>
  <c r="E449" i="3"/>
  <c r="E448" i="3"/>
  <c r="E447" i="3"/>
  <c r="E446" i="3"/>
  <c r="E445" i="3"/>
  <c r="E444" i="3"/>
  <c r="E443" i="3"/>
  <c r="E442" i="3"/>
  <c r="E441" i="3"/>
  <c r="E440" i="3"/>
  <c r="E439" i="3"/>
  <c r="E438" i="3"/>
  <c r="E437" i="3"/>
  <c r="E436" i="3"/>
  <c r="E435" i="3"/>
  <c r="E434" i="3"/>
  <c r="E433" i="3"/>
  <c r="E432" i="3"/>
  <c r="E431" i="3"/>
  <c r="E430" i="3"/>
  <c r="E429" i="3"/>
  <c r="E428" i="3"/>
  <c r="E427" i="3"/>
  <c r="E426" i="3"/>
  <c r="E425" i="3"/>
  <c r="E424" i="3"/>
  <c r="E423" i="3"/>
  <c r="E422" i="3"/>
  <c r="E421" i="3"/>
  <c r="E420" i="3"/>
  <c r="E419" i="3"/>
  <c r="E418" i="3"/>
  <c r="E417" i="3"/>
  <c r="E416" i="3"/>
  <c r="E415" i="3"/>
  <c r="E414" i="3"/>
  <c r="E413" i="3"/>
  <c r="E412" i="3"/>
  <c r="E411" i="3"/>
  <c r="E410" i="3"/>
  <c r="E409" i="3"/>
  <c r="E408" i="3"/>
  <c r="E407" i="3"/>
  <c r="E406" i="3"/>
  <c r="E405" i="3"/>
  <c r="E404" i="3"/>
  <c r="E403" i="3"/>
  <c r="E402" i="3"/>
  <c r="E401" i="3"/>
  <c r="E400" i="3"/>
  <c r="E399" i="3"/>
  <c r="E398" i="3"/>
  <c r="E397" i="3"/>
  <c r="E396" i="3"/>
  <c r="E395" i="3"/>
  <c r="E394" i="3"/>
  <c r="E393" i="3"/>
  <c r="E392" i="3"/>
  <c r="E391" i="3"/>
  <c r="E390" i="3"/>
  <c r="E389" i="3"/>
  <c r="E388" i="3"/>
  <c r="E387" i="3"/>
  <c r="E386" i="3"/>
  <c r="E385" i="3"/>
  <c r="E384" i="3"/>
  <c r="E383" i="3"/>
  <c r="E382" i="3"/>
  <c r="E381" i="3"/>
  <c r="E380" i="3"/>
  <c r="E379" i="3"/>
  <c r="E378" i="3"/>
  <c r="E377" i="3"/>
  <c r="E376" i="3"/>
  <c r="E375" i="3"/>
  <c r="E374" i="3"/>
  <c r="E373" i="3"/>
  <c r="E372" i="3"/>
  <c r="E371" i="3"/>
  <c r="E370" i="3"/>
  <c r="E369" i="3"/>
  <c r="E368" i="3"/>
  <c r="E367" i="3"/>
  <c r="E366" i="3"/>
  <c r="E365" i="3"/>
  <c r="E364" i="3"/>
  <c r="E363" i="3"/>
  <c r="E362" i="3"/>
  <c r="E361" i="3"/>
  <c r="E360" i="3"/>
  <c r="E359" i="3"/>
  <c r="E358" i="3"/>
  <c r="E357" i="3"/>
  <c r="E356" i="3"/>
  <c r="E355" i="3"/>
  <c r="E354" i="3"/>
  <c r="E353" i="3"/>
  <c r="E352" i="3"/>
  <c r="E351" i="3"/>
  <c r="E350" i="3"/>
  <c r="E349" i="3"/>
  <c r="E348" i="3"/>
  <c r="E347" i="3"/>
  <c r="E346" i="3"/>
  <c r="E345" i="3"/>
  <c r="E344" i="3"/>
  <c r="E343" i="3"/>
  <c r="E342" i="3"/>
  <c r="E341" i="3"/>
  <c r="E340" i="3"/>
  <c r="E339" i="3"/>
  <c r="E338" i="3"/>
  <c r="E337" i="3"/>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6" i="3"/>
  <c r="E5" i="3"/>
  <c r="E8" i="3"/>
  <c r="I62" i="1"/>
  <c r="J62" i="1" s="1"/>
  <c r="I60" i="1"/>
  <c r="J60" i="1" s="1"/>
  <c r="F55" i="1"/>
  <c r="B1" i="3"/>
  <c r="E2" i="3"/>
  <c r="K8" i="3"/>
  <c r="C2" i="3"/>
  <c r="F17" i="3"/>
  <c r="AB593" i="4"/>
  <c r="AF593" i="4"/>
  <c r="AB541" i="4"/>
  <c r="AF541" i="4"/>
  <c r="AB489" i="4"/>
  <c r="AF489" i="4"/>
  <c r="AB437" i="4"/>
  <c r="AB385" i="4"/>
  <c r="AE385" i="4"/>
  <c r="AB333" i="4"/>
  <c r="AD333" i="4"/>
  <c r="AB281" i="4"/>
  <c r="AB229" i="4"/>
  <c r="AE229" i="4"/>
  <c r="AB177" i="4"/>
  <c r="AF177" i="4"/>
  <c r="AB101" i="4"/>
  <c r="AE101" i="4"/>
  <c r="AF385" i="4"/>
  <c r="AD541" i="4"/>
  <c r="AD593" i="4"/>
  <c r="AE541" i="4"/>
  <c r="AE593" i="4"/>
  <c r="AF333" i="4"/>
  <c r="I54" i="1"/>
  <c r="J54" i="1" s="1"/>
  <c r="I59" i="1"/>
  <c r="J59" i="1" s="1"/>
  <c r="AD281" i="4"/>
  <c r="AE281" i="4"/>
  <c r="AF281" i="4"/>
  <c r="AD385" i="4"/>
  <c r="AF229" i="4"/>
  <c r="AE333" i="4"/>
  <c r="C57" i="1"/>
  <c r="C59" i="1"/>
  <c r="C61" i="1"/>
  <c r="AE177" i="4"/>
  <c r="AD229" i="4"/>
  <c r="AF437" i="4"/>
  <c r="AE437" i="4"/>
  <c r="AD177" i="4"/>
  <c r="AE489" i="4"/>
  <c r="AD489" i="4"/>
  <c r="AD437" i="4"/>
  <c r="F500" i="3"/>
  <c r="F499" i="3"/>
  <c r="F498" i="3"/>
  <c r="F497" i="3"/>
  <c r="F496" i="3"/>
  <c r="F495" i="3"/>
  <c r="F494" i="3"/>
  <c r="F493" i="3"/>
  <c r="F492" i="3"/>
  <c r="F491" i="3"/>
  <c r="F490" i="3"/>
  <c r="F489" i="3"/>
  <c r="F488" i="3"/>
  <c r="F487" i="3"/>
  <c r="F486" i="3"/>
  <c r="F485" i="3"/>
  <c r="F484" i="3"/>
  <c r="F483" i="3"/>
  <c r="F482" i="3"/>
  <c r="F481" i="3"/>
  <c r="F480" i="3"/>
  <c r="F479" i="3"/>
  <c r="F478" i="3"/>
  <c r="F477" i="3"/>
  <c r="F476" i="3"/>
  <c r="F475" i="3"/>
  <c r="F474" i="3"/>
  <c r="F473" i="3"/>
  <c r="F472" i="3"/>
  <c r="F471" i="3"/>
  <c r="F470" i="3"/>
  <c r="F469" i="3"/>
  <c r="F468" i="3"/>
  <c r="F467" i="3"/>
  <c r="F466" i="3"/>
  <c r="F465" i="3"/>
  <c r="F464" i="3"/>
  <c r="F463" i="3"/>
  <c r="F462" i="3"/>
  <c r="F461" i="3"/>
  <c r="F460" i="3"/>
  <c r="F459" i="3"/>
  <c r="F458" i="3"/>
  <c r="F457" i="3"/>
  <c r="F456" i="3"/>
  <c r="F455" i="3"/>
  <c r="F454" i="3"/>
  <c r="F453" i="3"/>
  <c r="F452" i="3"/>
  <c r="F451" i="3"/>
  <c r="F450" i="3"/>
  <c r="F449" i="3"/>
  <c r="F448" i="3"/>
  <c r="F447" i="3"/>
  <c r="F446" i="3"/>
  <c r="F445" i="3"/>
  <c r="F444" i="3"/>
  <c r="F443" i="3"/>
  <c r="F442" i="3"/>
  <c r="F441" i="3"/>
  <c r="F440" i="3"/>
  <c r="F439" i="3"/>
  <c r="F438" i="3"/>
  <c r="F437" i="3"/>
  <c r="F436" i="3"/>
  <c r="F435" i="3"/>
  <c r="F434" i="3"/>
  <c r="F433" i="3"/>
  <c r="F432" i="3"/>
  <c r="F431" i="3"/>
  <c r="F430" i="3"/>
  <c r="F429" i="3"/>
  <c r="F428" i="3"/>
  <c r="F427" i="3"/>
  <c r="F426" i="3"/>
  <c r="F425" i="3"/>
  <c r="F424" i="3"/>
  <c r="F423" i="3"/>
  <c r="F422" i="3"/>
  <c r="F421" i="3"/>
  <c r="F420" i="3"/>
  <c r="F419" i="3"/>
  <c r="F418" i="3"/>
  <c r="F417" i="3"/>
  <c r="F416" i="3"/>
  <c r="F415" i="3"/>
  <c r="F414" i="3"/>
  <c r="F413" i="3"/>
  <c r="F412" i="3"/>
  <c r="F411" i="3"/>
  <c r="F410" i="3"/>
  <c r="F409" i="3"/>
  <c r="F408" i="3"/>
  <c r="F407" i="3"/>
  <c r="F406" i="3"/>
  <c r="F405" i="3"/>
  <c r="F404" i="3"/>
  <c r="F403" i="3"/>
  <c r="F402" i="3"/>
  <c r="F401" i="3"/>
  <c r="F400" i="3"/>
  <c r="F399" i="3"/>
  <c r="F398" i="3"/>
  <c r="F397" i="3"/>
  <c r="F396" i="3"/>
  <c r="F395" i="3"/>
  <c r="F394" i="3"/>
  <c r="F393" i="3"/>
  <c r="F392" i="3"/>
  <c r="F391" i="3"/>
  <c r="F390"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F353" i="3"/>
  <c r="F352" i="3"/>
  <c r="F351" i="3"/>
  <c r="F350" i="3"/>
  <c r="F349" i="3"/>
  <c r="F348" i="3"/>
  <c r="F347" i="3"/>
  <c r="F346" i="3"/>
  <c r="F345" i="3"/>
  <c r="F344" i="3"/>
  <c r="F343" i="3"/>
  <c r="F342" i="3"/>
  <c r="F341" i="3"/>
  <c r="F340" i="3"/>
  <c r="F339" i="3"/>
  <c r="F338" i="3"/>
  <c r="F337" i="3"/>
  <c r="F336" i="3"/>
  <c r="F335" i="3"/>
  <c r="F334" i="3"/>
  <c r="F333" i="3"/>
  <c r="F332" i="3"/>
  <c r="F331" i="3"/>
  <c r="F330" i="3"/>
  <c r="F329" i="3"/>
  <c r="F328" i="3"/>
  <c r="F327" i="3"/>
  <c r="F326" i="3"/>
  <c r="F325" i="3"/>
  <c r="F324" i="3"/>
  <c r="F323" i="3"/>
  <c r="F322" i="3"/>
  <c r="F321" i="3"/>
  <c r="F320" i="3"/>
  <c r="F319" i="3"/>
  <c r="F318" i="3"/>
  <c r="F317" i="3"/>
  <c r="F316" i="3"/>
  <c r="F315" i="3"/>
  <c r="F314" i="3"/>
  <c r="F313" i="3"/>
  <c r="F312" i="3"/>
  <c r="F311" i="3"/>
  <c r="F310" i="3"/>
  <c r="F309" i="3"/>
  <c r="F308" i="3"/>
  <c r="F307" i="3"/>
  <c r="F306" i="3"/>
  <c r="F305" i="3"/>
  <c r="F304" i="3"/>
  <c r="F303" i="3"/>
  <c r="F302" i="3"/>
  <c r="F301" i="3"/>
  <c r="F300" i="3"/>
  <c r="F299" i="3"/>
  <c r="F298" i="3"/>
  <c r="F297" i="3"/>
  <c r="F296" i="3"/>
  <c r="F295" i="3"/>
  <c r="F294" i="3"/>
  <c r="F293" i="3"/>
  <c r="F292" i="3"/>
  <c r="F291" i="3"/>
  <c r="F290" i="3"/>
  <c r="F289" i="3"/>
  <c r="F288" i="3"/>
  <c r="F287" i="3"/>
  <c r="F286" i="3"/>
  <c r="F285" i="3"/>
  <c r="F284" i="3"/>
  <c r="F283" i="3"/>
  <c r="F282" i="3"/>
  <c r="F281" i="3"/>
  <c r="F280" i="3"/>
  <c r="F279" i="3"/>
  <c r="F278" i="3"/>
  <c r="F277" i="3"/>
  <c r="F276" i="3"/>
  <c r="F275" i="3"/>
  <c r="F274" i="3"/>
  <c r="F273" i="3"/>
  <c r="F272" i="3"/>
  <c r="F271" i="3"/>
  <c r="F270" i="3"/>
  <c r="F269" i="3"/>
  <c r="F268" i="3"/>
  <c r="F267" i="3"/>
  <c r="F266" i="3"/>
  <c r="F265" i="3"/>
  <c r="F264" i="3"/>
  <c r="F263" i="3"/>
  <c r="F262" i="3"/>
  <c r="F261" i="3"/>
  <c r="F260" i="3"/>
  <c r="F259" i="3"/>
  <c r="F258" i="3"/>
  <c r="F257" i="3"/>
  <c r="F256" i="3"/>
  <c r="F255" i="3"/>
  <c r="F254" i="3"/>
  <c r="F253" i="3"/>
  <c r="F252" i="3"/>
  <c r="F251" i="3"/>
  <c r="F250" i="3"/>
  <c r="F249" i="3"/>
  <c r="F248" i="3"/>
  <c r="F247" i="3"/>
  <c r="F246" i="3"/>
  <c r="F245" i="3"/>
  <c r="F244" i="3"/>
  <c r="F243" i="3"/>
  <c r="F242" i="3"/>
  <c r="F241" i="3"/>
  <c r="F240" i="3"/>
  <c r="F239" i="3"/>
  <c r="F238" i="3"/>
  <c r="F237" i="3"/>
  <c r="F236" i="3"/>
  <c r="F235" i="3"/>
  <c r="F234" i="3"/>
  <c r="F233" i="3"/>
  <c r="F232" i="3"/>
  <c r="F231" i="3"/>
  <c r="F230" i="3"/>
  <c r="F229" i="3"/>
  <c r="F228" i="3"/>
  <c r="F227" i="3"/>
  <c r="F226" i="3"/>
  <c r="F225" i="3"/>
  <c r="F224" i="3"/>
  <c r="F223" i="3"/>
  <c r="F222" i="3"/>
  <c r="F221" i="3"/>
  <c r="F220" i="3"/>
  <c r="F219" i="3"/>
  <c r="F218" i="3"/>
  <c r="F217" i="3"/>
  <c r="F216" i="3"/>
  <c r="F215" i="3"/>
  <c r="F214" i="3"/>
  <c r="F213" i="3"/>
  <c r="F212" i="3"/>
  <c r="F211" i="3"/>
  <c r="F210" i="3"/>
  <c r="F209" i="3"/>
  <c r="F208" i="3"/>
  <c r="F207" i="3"/>
  <c r="F206" i="3"/>
  <c r="F205" i="3"/>
  <c r="F204" i="3"/>
  <c r="F203" i="3"/>
  <c r="F202" i="3"/>
  <c r="F201" i="3"/>
  <c r="F200" i="3"/>
  <c r="F199" i="3"/>
  <c r="F198" i="3"/>
  <c r="F197" i="3"/>
  <c r="F196" i="3"/>
  <c r="F195" i="3"/>
  <c r="F194" i="3"/>
  <c r="F193" i="3"/>
  <c r="F192" i="3"/>
  <c r="F191" i="3"/>
  <c r="F190" i="3"/>
  <c r="F189" i="3"/>
  <c r="F188" i="3"/>
  <c r="F187" i="3"/>
  <c r="F186" i="3"/>
  <c r="F185" i="3"/>
  <c r="F184" i="3"/>
  <c r="F183" i="3"/>
  <c r="F182" i="3"/>
  <c r="F181" i="3"/>
  <c r="F180" i="3"/>
  <c r="F179" i="3"/>
  <c r="F178" i="3"/>
  <c r="F177" i="3"/>
  <c r="F176" i="3"/>
  <c r="F175" i="3"/>
  <c r="F174" i="3"/>
  <c r="F173" i="3"/>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6" i="3"/>
  <c r="F15" i="3"/>
  <c r="F3" i="3"/>
  <c r="D2" i="3"/>
  <c r="F2" i="3"/>
  <c r="I3" i="3"/>
  <c r="A3" i="3"/>
  <c r="A2" i="3"/>
  <c r="F1" i="3"/>
  <c r="F14" i="3"/>
  <c r="F13" i="3"/>
  <c r="F12" i="3"/>
  <c r="F11" i="3"/>
  <c r="F10" i="3"/>
  <c r="F9" i="3"/>
  <c r="F8" i="3"/>
  <c r="F7" i="3"/>
  <c r="F6" i="3"/>
  <c r="F5" i="3"/>
  <c r="F4" i="3"/>
  <c r="R124" i="4" l="1"/>
  <c r="F81" i="4" s="1"/>
  <c r="Q140" i="1"/>
  <c r="Z139" i="1"/>
  <c r="V139" i="1"/>
  <c r="X139" i="1"/>
  <c r="Z82" i="1"/>
  <c r="Z198" i="1"/>
  <c r="Q84" i="1"/>
  <c r="R84" i="1" s="1"/>
  <c r="Q83" i="1"/>
  <c r="Q200" i="1"/>
  <c r="T200" i="1" s="1"/>
  <c r="W200" i="1" s="1"/>
  <c r="V200" i="1" s="1"/>
  <c r="X200" i="1" s="1"/>
  <c r="X113" i="1"/>
  <c r="Q114" i="1"/>
  <c r="V82" i="1"/>
  <c r="Q149" i="1"/>
  <c r="V252" i="1"/>
  <c r="Z148" i="1"/>
  <c r="R169" i="1"/>
  <c r="Q172" i="1"/>
  <c r="Q208" i="1"/>
  <c r="X148" i="1"/>
  <c r="Q209" i="1"/>
  <c r="R209" i="1" s="1"/>
  <c r="V113" i="1"/>
  <c r="Q253" i="1"/>
  <c r="Q104" i="1"/>
  <c r="R104" i="1" s="1"/>
  <c r="Q103" i="1"/>
  <c r="Z102" i="1"/>
  <c r="X102" i="1"/>
  <c r="V102" i="1"/>
  <c r="T115" i="1"/>
  <c r="R115" i="1"/>
  <c r="Q125" i="1"/>
  <c r="X123" i="1"/>
  <c r="Q124" i="1"/>
  <c r="R141" i="1"/>
  <c r="T141" i="1"/>
  <c r="R150" i="1"/>
  <c r="V157" i="1"/>
  <c r="Q158" i="1"/>
  <c r="Q159" i="1"/>
  <c r="T159" i="1" s="1"/>
  <c r="Z157" i="1"/>
  <c r="O49" i="1"/>
  <c r="AE54" i="1" s="1"/>
  <c r="Q199" i="1"/>
  <c r="Q236" i="1"/>
  <c r="R236" i="1" s="1"/>
  <c r="Z171" i="1"/>
  <c r="Q235" i="1"/>
  <c r="V180" i="1"/>
  <c r="Q64" i="1"/>
  <c r="Z113" i="1"/>
  <c r="Q182" i="1"/>
  <c r="R200" i="1"/>
  <c r="Y200" i="1" s="1"/>
  <c r="X252" i="1"/>
  <c r="Z207" i="1"/>
  <c r="V225" i="1"/>
  <c r="V171" i="1"/>
  <c r="Z189" i="1"/>
  <c r="Q245" i="1"/>
  <c r="Z60" i="1"/>
  <c r="V216" i="1"/>
  <c r="V198" i="1"/>
  <c r="Q254" i="1"/>
  <c r="Q181" i="1"/>
  <c r="V189" i="1"/>
  <c r="Q218" i="1"/>
  <c r="Z216" i="1"/>
  <c r="Q227" i="1"/>
  <c r="Z225" i="1"/>
  <c r="X207" i="1"/>
  <c r="T150" i="1"/>
  <c r="X180" i="1"/>
  <c r="Q226" i="1"/>
  <c r="V148" i="1"/>
  <c r="T173" i="1"/>
  <c r="Q244" i="1"/>
  <c r="Z234" i="1"/>
  <c r="Q191" i="1"/>
  <c r="R191" i="1" s="1"/>
  <c r="X243" i="1"/>
  <c r="X51" i="1"/>
  <c r="Q52" i="1"/>
  <c r="Q53" i="1"/>
  <c r="V51" i="1"/>
  <c r="Z51" i="1"/>
  <c r="R49" i="1"/>
  <c r="T209" i="1" l="1"/>
  <c r="Q201" i="1"/>
  <c r="T84" i="1"/>
  <c r="T104" i="1"/>
  <c r="T105" i="1" s="1"/>
  <c r="Z200" i="1"/>
  <c r="T64" i="1"/>
  <c r="R64" i="1"/>
  <c r="Q142" i="1"/>
  <c r="R142" i="1" s="1"/>
  <c r="W141" i="1"/>
  <c r="V141" i="1"/>
  <c r="R182" i="1"/>
  <c r="T236" i="1"/>
  <c r="R125" i="1"/>
  <c r="T245" i="1"/>
  <c r="W115" i="1"/>
  <c r="V115" i="1" s="1"/>
  <c r="Q116" i="1"/>
  <c r="R116" i="1" s="1"/>
  <c r="W209" i="1"/>
  <c r="V209" i="1"/>
  <c r="Q210" i="1"/>
  <c r="R210" i="1" s="1"/>
  <c r="T210" i="1"/>
  <c r="T227" i="1"/>
  <c r="R227" i="1"/>
  <c r="R245" i="1"/>
  <c r="T125" i="1"/>
  <c r="W150" i="1"/>
  <c r="V150" i="1"/>
  <c r="Q151" i="1"/>
  <c r="R151" i="1" s="1"/>
  <c r="T191" i="1"/>
  <c r="W173" i="1"/>
  <c r="V173" i="1" s="1"/>
  <c r="Q174" i="1"/>
  <c r="R174" i="1" s="1"/>
  <c r="R218" i="1"/>
  <c r="T218" i="1"/>
  <c r="T182" i="1"/>
  <c r="Q105" i="1"/>
  <c r="R105" i="1" s="1"/>
  <c r="T201" i="1"/>
  <c r="R201" i="1"/>
  <c r="W159" i="1"/>
  <c r="V159" i="1"/>
  <c r="Q160" i="1"/>
  <c r="R160" i="1" s="1"/>
  <c r="R254" i="1"/>
  <c r="T254" i="1"/>
  <c r="R159" i="1"/>
  <c r="T53" i="1"/>
  <c r="R53" i="1"/>
  <c r="W84" i="1" l="1"/>
  <c r="V84" i="1" s="1"/>
  <c r="X84" i="1" s="1"/>
  <c r="Y84" i="1" s="1"/>
  <c r="Z84" i="1" s="1"/>
  <c r="Q85" i="1"/>
  <c r="W104" i="1"/>
  <c r="V104" i="1" s="1"/>
  <c r="X115" i="1"/>
  <c r="Y115" i="1" s="1"/>
  <c r="X173" i="1"/>
  <c r="Y173" i="1" s="1"/>
  <c r="W236" i="1"/>
  <c r="V236" i="1" s="1"/>
  <c r="Q237" i="1"/>
  <c r="R237" i="1" s="1"/>
  <c r="X141" i="1"/>
  <c r="Y141" i="1" s="1"/>
  <c r="Q183" i="1"/>
  <c r="R183" i="1" s="1"/>
  <c r="W182" i="1"/>
  <c r="V182" i="1"/>
  <c r="W201" i="1"/>
  <c r="V201" i="1" s="1"/>
  <c r="Q202" i="1"/>
  <c r="R202" i="1" s="1"/>
  <c r="T116" i="1"/>
  <c r="T174" i="1"/>
  <c r="AA200" i="1"/>
  <c r="W254" i="1"/>
  <c r="V254" i="1" s="1"/>
  <c r="Q255" i="1"/>
  <c r="R255" i="1" s="1"/>
  <c r="W227" i="1"/>
  <c r="V227" i="1" s="1"/>
  <c r="Q228" i="1"/>
  <c r="R228" i="1" s="1"/>
  <c r="W245" i="1"/>
  <c r="V245" i="1" s="1"/>
  <c r="Q246" i="1"/>
  <c r="R246" i="1" s="1"/>
  <c r="T246" i="1"/>
  <c r="T142" i="1"/>
  <c r="X159" i="1"/>
  <c r="Y159" i="1" s="1"/>
  <c r="W210" i="1"/>
  <c r="V210" i="1" s="1"/>
  <c r="Q211" i="1"/>
  <c r="R211" i="1" s="1"/>
  <c r="X209" i="1"/>
  <c r="Y209" i="1" s="1"/>
  <c r="Q126" i="1"/>
  <c r="R126" i="1" s="1"/>
  <c r="T126" i="1"/>
  <c r="W125" i="1"/>
  <c r="V125" i="1" s="1"/>
  <c r="X150" i="1"/>
  <c r="Y150" i="1" s="1"/>
  <c r="W218" i="1"/>
  <c r="V218" i="1"/>
  <c r="Q219" i="1"/>
  <c r="R219" i="1" s="1"/>
  <c r="T151" i="1"/>
  <c r="X104" i="1"/>
  <c r="Y104" i="1"/>
  <c r="Q108" i="1"/>
  <c r="R108" i="1" s="1"/>
  <c r="W105" i="1"/>
  <c r="V105" i="1" s="1"/>
  <c r="T160" i="1"/>
  <c r="W191" i="1"/>
  <c r="V191" i="1"/>
  <c r="Q192" i="1"/>
  <c r="R192" i="1" s="1"/>
  <c r="T192" i="1"/>
  <c r="W64" i="1"/>
  <c r="V64" i="1" s="1"/>
  <c r="Q65" i="1"/>
  <c r="R65" i="1" s="1"/>
  <c r="Q54" i="1"/>
  <c r="R54" i="1" s="1"/>
  <c r="W53" i="1"/>
  <c r="V53" i="1" s="1"/>
  <c r="T54" i="1" l="1"/>
  <c r="T211" i="1"/>
  <c r="R85" i="1"/>
  <c r="T85" i="1"/>
  <c r="T108" i="1"/>
  <c r="T255" i="1"/>
  <c r="W255" i="1" s="1"/>
  <c r="V255" i="1" s="1"/>
  <c r="X227" i="1"/>
  <c r="Y227" i="1"/>
  <c r="Z159" i="1"/>
  <c r="Z209" i="1"/>
  <c r="X64" i="1"/>
  <c r="Y64" i="1" s="1"/>
  <c r="Z150" i="1"/>
  <c r="X201" i="1"/>
  <c r="Y201" i="1"/>
  <c r="X236" i="1"/>
  <c r="Y236" i="1" s="1"/>
  <c r="X105" i="1"/>
  <c r="Y105" i="1"/>
  <c r="Z105" i="1" s="1"/>
  <c r="AA105" i="1" s="1"/>
  <c r="X125" i="1"/>
  <c r="Y125" i="1"/>
  <c r="Z173" i="1"/>
  <c r="Z104" i="1"/>
  <c r="Z141" i="1"/>
  <c r="X245" i="1"/>
  <c r="Y245" i="1" s="1"/>
  <c r="X182" i="1"/>
  <c r="Y182" i="1"/>
  <c r="X210" i="1"/>
  <c r="Y210" i="1" s="1"/>
  <c r="Z210" i="1" s="1"/>
  <c r="AA210" i="1" s="1"/>
  <c r="Z115" i="1"/>
  <c r="Q134" i="1"/>
  <c r="R134" i="1" s="1"/>
  <c r="W126" i="1"/>
  <c r="V126" i="1" s="1"/>
  <c r="X191" i="1"/>
  <c r="Y191" i="1" s="1"/>
  <c r="Q212" i="1"/>
  <c r="R212" i="1" s="1"/>
  <c r="W211" i="1"/>
  <c r="V211" i="1" s="1"/>
  <c r="Q117" i="1"/>
  <c r="R117" i="1" s="1"/>
  <c r="W116" i="1"/>
  <c r="V116" i="1" s="1"/>
  <c r="T183" i="1"/>
  <c r="W142" i="1"/>
  <c r="V142" i="1" s="1"/>
  <c r="Q143" i="1"/>
  <c r="R143" i="1" s="1"/>
  <c r="Q193" i="1"/>
  <c r="R193" i="1" s="1"/>
  <c r="W192" i="1"/>
  <c r="V192" i="1" s="1"/>
  <c r="W108" i="1"/>
  <c r="Q109" i="1"/>
  <c r="R109" i="1" s="1"/>
  <c r="V108" i="1"/>
  <c r="T65" i="1"/>
  <c r="W151" i="1"/>
  <c r="V151" i="1" s="1"/>
  <c r="Q152" i="1"/>
  <c r="R152" i="1" s="1"/>
  <c r="T152" i="1"/>
  <c r="AA84" i="1"/>
  <c r="T219" i="1"/>
  <c r="X218" i="1"/>
  <c r="Y218" i="1" s="1"/>
  <c r="T175" i="1"/>
  <c r="Q175" i="1"/>
  <c r="R175" i="1" s="1"/>
  <c r="W174" i="1"/>
  <c r="V174" i="1" s="1"/>
  <c r="T237" i="1"/>
  <c r="T228" i="1"/>
  <c r="T202" i="1"/>
  <c r="Q256" i="1"/>
  <c r="R256" i="1" s="1"/>
  <c r="X254" i="1"/>
  <c r="Y254" i="1" s="1"/>
  <c r="Q247" i="1"/>
  <c r="R247" i="1" s="1"/>
  <c r="W246" i="1"/>
  <c r="V246" i="1"/>
  <c r="Q161" i="1"/>
  <c r="R161" i="1" s="1"/>
  <c r="W160" i="1"/>
  <c r="V160" i="1"/>
  <c r="X53" i="1"/>
  <c r="Y53" i="1" s="1"/>
  <c r="Q55" i="1" l="1"/>
  <c r="R55" i="1" s="1"/>
  <c r="W54" i="1"/>
  <c r="V54" i="1" s="1"/>
  <c r="X54" i="1" s="1"/>
  <c r="Y54" i="1" s="1"/>
  <c r="W85" i="1"/>
  <c r="Q86" i="1"/>
  <c r="V85" i="1"/>
  <c r="X85" i="1" s="1"/>
  <c r="Y85" i="1" s="1"/>
  <c r="Z85" i="1" s="1"/>
  <c r="AA85" i="1" s="1"/>
  <c r="T161" i="1"/>
  <c r="T193" i="1"/>
  <c r="V193" i="1" s="1"/>
  <c r="X116" i="1"/>
  <c r="Y116" i="1" s="1"/>
  <c r="Z191" i="1"/>
  <c r="X211" i="1"/>
  <c r="Y211" i="1"/>
  <c r="Z211" i="1" s="1"/>
  <c r="AA211" i="1" s="1"/>
  <c r="Z218" i="1"/>
  <c r="X255" i="1"/>
  <c r="Y255" i="1"/>
  <c r="Z255" i="1" s="1"/>
  <c r="AA255" i="1" s="1"/>
  <c r="X174" i="1"/>
  <c r="Y174" i="1"/>
  <c r="Q153" i="1"/>
  <c r="R153" i="1" s="1"/>
  <c r="W152" i="1"/>
  <c r="V152" i="1" s="1"/>
  <c r="X192" i="1"/>
  <c r="Y192" i="1" s="1"/>
  <c r="AA115" i="1"/>
  <c r="AA104" i="1"/>
  <c r="T143" i="1"/>
  <c r="T212" i="1"/>
  <c r="X246" i="1"/>
  <c r="Y246" i="1" s="1"/>
  <c r="W65" i="1"/>
  <c r="V65" i="1" s="1"/>
  <c r="Q66" i="1"/>
  <c r="R66" i="1" s="1"/>
  <c r="AA173" i="1"/>
  <c r="AA150" i="1"/>
  <c r="Z64" i="1"/>
  <c r="T256" i="1"/>
  <c r="X108" i="1"/>
  <c r="Y108" i="1" s="1"/>
  <c r="Z201" i="1"/>
  <c r="Q238" i="1"/>
  <c r="R238" i="1" s="1"/>
  <c r="T238" i="1"/>
  <c r="W237" i="1"/>
  <c r="V237" i="1" s="1"/>
  <c r="AA141" i="1"/>
  <c r="X151" i="1"/>
  <c r="Y151" i="1" s="1"/>
  <c r="W175" i="1"/>
  <c r="V175" i="1" s="1"/>
  <c r="Q176" i="1"/>
  <c r="R176" i="1" s="1"/>
  <c r="T176" i="1"/>
  <c r="W219" i="1"/>
  <c r="V219" i="1" s="1"/>
  <c r="Q220" i="1"/>
  <c r="R220" i="1" s="1"/>
  <c r="Q184" i="1"/>
  <c r="R184" i="1" s="1"/>
  <c r="W183" i="1"/>
  <c r="V183" i="1" s="1"/>
  <c r="T184" i="1"/>
  <c r="AA209" i="1"/>
  <c r="Z227" i="1"/>
  <c r="W193" i="1"/>
  <c r="Q194" i="1"/>
  <c r="R194" i="1" s="1"/>
  <c r="Z254" i="1"/>
  <c r="X160" i="1"/>
  <c r="Y160" i="1"/>
  <c r="X142" i="1"/>
  <c r="Y142" i="1"/>
  <c r="Q162" i="1"/>
  <c r="R162" i="1" s="1"/>
  <c r="W161" i="1"/>
  <c r="V161" i="1" s="1"/>
  <c r="Z236" i="1"/>
  <c r="W228" i="1"/>
  <c r="V228" i="1" s="1"/>
  <c r="Q229" i="1"/>
  <c r="R229" i="1" s="1"/>
  <c r="X126" i="1"/>
  <c r="Y126" i="1" s="1"/>
  <c r="Z125" i="1"/>
  <c r="Z182" i="1"/>
  <c r="T109" i="1"/>
  <c r="T134" i="1"/>
  <c r="Z245" i="1"/>
  <c r="T247" i="1"/>
  <c r="W202" i="1"/>
  <c r="V202" i="1" s="1"/>
  <c r="Q203" i="1"/>
  <c r="R203" i="1" s="1"/>
  <c r="T117" i="1"/>
  <c r="AA159" i="1"/>
  <c r="Z53" i="1"/>
  <c r="T55" i="1"/>
  <c r="T66" i="1" l="1"/>
  <c r="R86" i="1"/>
  <c r="T86" i="1"/>
  <c r="T194" i="1"/>
  <c r="T229" i="1"/>
  <c r="W229" i="1" s="1"/>
  <c r="V229" i="1" s="1"/>
  <c r="T220" i="1"/>
  <c r="Z246" i="1"/>
  <c r="AA246" i="1" s="1"/>
  <c r="Z126" i="1"/>
  <c r="AA126" i="1" s="1"/>
  <c r="X65" i="1"/>
  <c r="Y65" i="1" s="1"/>
  <c r="X183" i="1"/>
  <c r="Y183" i="1" s="1"/>
  <c r="Z108" i="1"/>
  <c r="Z192" i="1"/>
  <c r="AA192" i="1" s="1"/>
  <c r="AA227" i="1"/>
  <c r="AA191" i="1"/>
  <c r="AA245" i="1"/>
  <c r="W184" i="1"/>
  <c r="V184" i="1"/>
  <c r="Q185" i="1"/>
  <c r="R185" i="1" s="1"/>
  <c r="X175" i="1"/>
  <c r="Y175" i="1"/>
  <c r="Z175" i="1" s="1"/>
  <c r="AA175" i="1" s="1"/>
  <c r="W66" i="1"/>
  <c r="V66" i="1" s="1"/>
  <c r="Q68" i="1"/>
  <c r="R68" i="1" s="1"/>
  <c r="W109" i="1"/>
  <c r="V109" i="1" s="1"/>
  <c r="AA201" i="1"/>
  <c r="Q118" i="1"/>
  <c r="R118" i="1" s="1"/>
  <c r="W117" i="1"/>
  <c r="V117" i="1" s="1"/>
  <c r="AA236" i="1"/>
  <c r="AA254" i="1"/>
  <c r="AA218" i="1"/>
  <c r="W247" i="1"/>
  <c r="V247" i="1" s="1"/>
  <c r="Q248" i="1"/>
  <c r="R248" i="1" s="1"/>
  <c r="Z160" i="1"/>
  <c r="X237" i="1"/>
  <c r="Y237" i="1"/>
  <c r="Q135" i="1"/>
  <c r="R135" i="1" s="1"/>
  <c r="T135" i="1"/>
  <c r="W134" i="1"/>
  <c r="V134" i="1" s="1"/>
  <c r="Z151" i="1"/>
  <c r="T203" i="1"/>
  <c r="AA182" i="1"/>
  <c r="W256" i="1"/>
  <c r="V256" i="1" s="1"/>
  <c r="Q257" i="1"/>
  <c r="R257" i="1" s="1"/>
  <c r="X202" i="1"/>
  <c r="Y202" i="1" s="1"/>
  <c r="Z142" i="1"/>
  <c r="X219" i="1"/>
  <c r="Y219" i="1" s="1"/>
  <c r="Q239" i="1"/>
  <c r="R239" i="1" s="1"/>
  <c r="W238" i="1"/>
  <c r="V238" i="1" s="1"/>
  <c r="Z174" i="1"/>
  <c r="Z116" i="1"/>
  <c r="W176" i="1"/>
  <c r="V176" i="1"/>
  <c r="X228" i="1"/>
  <c r="Y228" i="1" s="1"/>
  <c r="AA125" i="1"/>
  <c r="T162" i="1"/>
  <c r="W194" i="1"/>
  <c r="V194" i="1" s="1"/>
  <c r="AA64" i="1"/>
  <c r="X152" i="1"/>
  <c r="Y152" i="1"/>
  <c r="Z152" i="1" s="1"/>
  <c r="AA152" i="1" s="1"/>
  <c r="X161" i="1"/>
  <c r="Y161" i="1"/>
  <c r="Z161" i="1" s="1"/>
  <c r="AA161" i="1" s="1"/>
  <c r="X193" i="1"/>
  <c r="Y193" i="1" s="1"/>
  <c r="Z193" i="1" s="1"/>
  <c r="AA193" i="1" s="1"/>
  <c r="W212" i="1"/>
  <c r="V212" i="1"/>
  <c r="T153" i="1"/>
  <c r="W143" i="1"/>
  <c r="V143" i="1"/>
  <c r="Q144" i="1"/>
  <c r="R144" i="1" s="1"/>
  <c r="Z54" i="1"/>
  <c r="AA54" i="1" s="1"/>
  <c r="AA53" i="1"/>
  <c r="Q56" i="1"/>
  <c r="R56" i="1" s="1"/>
  <c r="W55" i="1"/>
  <c r="V55" i="1" s="1"/>
  <c r="Q221" i="1" l="1"/>
  <c r="R221" i="1" s="1"/>
  <c r="Q87" i="1"/>
  <c r="W86" i="1"/>
  <c r="V86" i="1" s="1"/>
  <c r="Q230" i="1"/>
  <c r="R230" i="1" s="1"/>
  <c r="T248" i="1"/>
  <c r="W248" i="1" s="1"/>
  <c r="W220" i="1"/>
  <c r="V220" i="1" s="1"/>
  <c r="T118" i="1"/>
  <c r="T239" i="1"/>
  <c r="W239" i="1" s="1"/>
  <c r="V239" i="1" s="1"/>
  <c r="Z228" i="1"/>
  <c r="Z202" i="1"/>
  <c r="X256" i="1"/>
  <c r="Y256" i="1"/>
  <c r="Z65" i="1"/>
  <c r="X66" i="1"/>
  <c r="Y66" i="1"/>
  <c r="Z66" i="1" s="1"/>
  <c r="AA66" i="1" s="1"/>
  <c r="X238" i="1"/>
  <c r="Y238" i="1"/>
  <c r="Z238" i="1" s="1"/>
  <c r="AA238" i="1" s="1"/>
  <c r="X194" i="1"/>
  <c r="Y194" i="1"/>
  <c r="X247" i="1"/>
  <c r="Y247" i="1"/>
  <c r="Z183" i="1"/>
  <c r="X229" i="1"/>
  <c r="Y229" i="1" s="1"/>
  <c r="X134" i="1"/>
  <c r="Y134" i="1"/>
  <c r="T68" i="1"/>
  <c r="AA108" i="1"/>
  <c r="X109" i="1"/>
  <c r="Y109" i="1" s="1"/>
  <c r="W135" i="1"/>
  <c r="V135" i="1" s="1"/>
  <c r="X184" i="1"/>
  <c r="Y184" i="1" s="1"/>
  <c r="X176" i="1"/>
  <c r="Y176" i="1" s="1"/>
  <c r="T257" i="1"/>
  <c r="X117" i="1"/>
  <c r="Y117" i="1"/>
  <c r="X143" i="1"/>
  <c r="Y143" i="1" s="1"/>
  <c r="AA142" i="1"/>
  <c r="Z237" i="1"/>
  <c r="Z219" i="1"/>
  <c r="T144" i="1"/>
  <c r="AA116" i="1"/>
  <c r="W153" i="1"/>
  <c r="V153" i="1" s="1"/>
  <c r="W118" i="1"/>
  <c r="V118" i="1"/>
  <c r="X212" i="1"/>
  <c r="Y212" i="1" s="1"/>
  <c r="W162" i="1"/>
  <c r="V162" i="1" s="1"/>
  <c r="AA160" i="1"/>
  <c r="T230" i="1"/>
  <c r="AA174" i="1"/>
  <c r="W203" i="1"/>
  <c r="V203" i="1"/>
  <c r="AA151" i="1"/>
  <c r="T185" i="1"/>
  <c r="X55" i="1"/>
  <c r="Y55" i="1" s="1"/>
  <c r="T56" i="1"/>
  <c r="X86" i="1" l="1"/>
  <c r="Y86" i="1"/>
  <c r="Z86" i="1" s="1"/>
  <c r="AA86" i="1" s="1"/>
  <c r="V248" i="1"/>
  <c r="R87" i="1"/>
  <c r="T87" i="1"/>
  <c r="W87" i="1" s="1"/>
  <c r="V87" i="1" s="1"/>
  <c r="X87" i="1" s="1"/>
  <c r="Y87" i="1" s="1"/>
  <c r="T221" i="1"/>
  <c r="W221" i="1" s="1"/>
  <c r="V221" i="1" s="1"/>
  <c r="X221" i="1" s="1"/>
  <c r="Y221" i="1" s="1"/>
  <c r="Z87" i="1"/>
  <c r="Y88" i="1"/>
  <c r="X220" i="1"/>
  <c r="Y220" i="1"/>
  <c r="Z220" i="1" s="1"/>
  <c r="AA220" i="1" s="1"/>
  <c r="X135" i="1"/>
  <c r="Y135" i="1" s="1"/>
  <c r="Z184" i="1"/>
  <c r="AA184" i="1" s="1"/>
  <c r="Z176" i="1"/>
  <c r="Y177" i="1"/>
  <c r="X239" i="1"/>
  <c r="Y239" i="1"/>
  <c r="Z239" i="1" s="1"/>
  <c r="AA239" i="1" s="1"/>
  <c r="Z109" i="1"/>
  <c r="Y110" i="1"/>
  <c r="X162" i="1"/>
  <c r="Y162" i="1" s="1"/>
  <c r="X153" i="1"/>
  <c r="Y153" i="1"/>
  <c r="Z229" i="1"/>
  <c r="AA229" i="1" s="1"/>
  <c r="Z134" i="1"/>
  <c r="W257" i="1"/>
  <c r="V257" i="1"/>
  <c r="AA237" i="1"/>
  <c r="X118" i="1"/>
  <c r="Y118" i="1"/>
  <c r="Z118" i="1" s="1"/>
  <c r="AA118" i="1" s="1"/>
  <c r="W230" i="1"/>
  <c r="V230" i="1" s="1"/>
  <c r="X248" i="1"/>
  <c r="Y248" i="1"/>
  <c r="Z248" i="1" s="1"/>
  <c r="AA248" i="1" s="1"/>
  <c r="AA65" i="1"/>
  <c r="Z117" i="1"/>
  <c r="Z256" i="1"/>
  <c r="W144" i="1"/>
  <c r="V144" i="1" s="1"/>
  <c r="AA183" i="1"/>
  <c r="Z212" i="1"/>
  <c r="Y213" i="1"/>
  <c r="W185" i="1"/>
  <c r="V185" i="1" s="1"/>
  <c r="X203" i="1"/>
  <c r="Y203" i="1" s="1"/>
  <c r="Z143" i="1"/>
  <c r="Z247" i="1"/>
  <c r="AA219" i="1"/>
  <c r="AA202" i="1"/>
  <c r="Z194" i="1"/>
  <c r="Y195" i="1"/>
  <c r="W68" i="1"/>
  <c r="V68" i="1"/>
  <c r="AA228" i="1"/>
  <c r="Z55" i="1"/>
  <c r="W56" i="1"/>
  <c r="V56" i="1" s="1"/>
  <c r="AA240" i="1" l="1"/>
  <c r="AA87" i="1"/>
  <c r="AA88" i="1" s="1"/>
  <c r="Z88" i="1"/>
  <c r="Z89" i="1" s="1"/>
  <c r="Z162" i="1"/>
  <c r="Y163" i="1"/>
  <c r="Z135" i="1"/>
  <c r="AA135" i="1" s="1"/>
  <c r="Y136" i="1"/>
  <c r="X230" i="1"/>
  <c r="Y230" i="1" s="1"/>
  <c r="Z221" i="1"/>
  <c r="Y222" i="1"/>
  <c r="Z203" i="1"/>
  <c r="Y204" i="1"/>
  <c r="AA117" i="1"/>
  <c r="AA119" i="1" s="1"/>
  <c r="Z119" i="1"/>
  <c r="Z120" i="1" s="1"/>
  <c r="AA109" i="1"/>
  <c r="AA110" i="1" s="1"/>
  <c r="Z110" i="1"/>
  <c r="Z111" i="1" s="1"/>
  <c r="AA247" i="1"/>
  <c r="AA249" i="1" s="1"/>
  <c r="Z249" i="1"/>
  <c r="AA212" i="1"/>
  <c r="AA213" i="1" s="1"/>
  <c r="Z213" i="1"/>
  <c r="Z214" i="1" s="1"/>
  <c r="AA134" i="1"/>
  <c r="AA136" i="1" s="1"/>
  <c r="Z136" i="1"/>
  <c r="X257" i="1"/>
  <c r="Y257" i="1" s="1"/>
  <c r="Y249" i="1"/>
  <c r="AA143" i="1"/>
  <c r="Y240" i="1"/>
  <c r="AA176" i="1"/>
  <c r="AA177" i="1" s="1"/>
  <c r="Z177" i="1"/>
  <c r="X185" i="1"/>
  <c r="Y185" i="1" s="1"/>
  <c r="X144" i="1"/>
  <c r="Y144" i="1"/>
  <c r="AA194" i="1"/>
  <c r="AA195" i="1" s="1"/>
  <c r="Z195" i="1"/>
  <c r="Z196" i="1" s="1"/>
  <c r="AA256" i="1"/>
  <c r="X68" i="1"/>
  <c r="Y68" i="1" s="1"/>
  <c r="Z153" i="1"/>
  <c r="Y154" i="1"/>
  <c r="Y119" i="1"/>
  <c r="Z240" i="1"/>
  <c r="Z241" i="1" s="1"/>
  <c r="X56" i="1"/>
  <c r="Y56" i="1" s="1"/>
  <c r="AA55" i="1"/>
  <c r="Z137" i="1" l="1"/>
  <c r="Z250" i="1"/>
  <c r="Z185" i="1"/>
  <c r="Y186" i="1"/>
  <c r="Z178" i="1"/>
  <c r="AA203" i="1"/>
  <c r="AA204" i="1" s="1"/>
  <c r="Z204" i="1"/>
  <c r="Z144" i="1"/>
  <c r="Y145" i="1"/>
  <c r="Z230" i="1"/>
  <c r="Y231" i="1"/>
  <c r="Z68" i="1"/>
  <c r="Y69" i="1"/>
  <c r="AA221" i="1"/>
  <c r="AA222" i="1" s="1"/>
  <c r="Z222" i="1"/>
  <c r="Z223" i="1" s="1"/>
  <c r="Z257" i="1"/>
  <c r="Y258" i="1"/>
  <c r="AA162" i="1"/>
  <c r="AA163" i="1" s="1"/>
  <c r="Z163" i="1"/>
  <c r="Z164" i="1" s="1"/>
  <c r="AA153" i="1"/>
  <c r="AA154" i="1" s="1"/>
  <c r="Z154" i="1"/>
  <c r="Z56" i="1"/>
  <c r="Y57" i="1"/>
  <c r="Z155" i="1" l="1"/>
  <c r="AA68" i="1"/>
  <c r="AA69" i="1" s="1"/>
  <c r="Z69" i="1"/>
  <c r="AA144" i="1"/>
  <c r="AA145" i="1" s="1"/>
  <c r="Z145" i="1"/>
  <c r="Z205" i="1"/>
  <c r="AA257" i="1"/>
  <c r="AA258" i="1" s="1"/>
  <c r="Z258" i="1"/>
  <c r="AA185" i="1"/>
  <c r="AA186" i="1" s="1"/>
  <c r="Z186" i="1"/>
  <c r="AA230" i="1"/>
  <c r="AA231" i="1" s="1"/>
  <c r="Z231" i="1"/>
  <c r="AA56" i="1"/>
  <c r="AA57" i="1" s="1"/>
  <c r="Z57" i="1"/>
  <c r="Z187" i="1" l="1"/>
  <c r="Z259" i="1"/>
  <c r="Z232" i="1"/>
  <c r="Z146" i="1"/>
  <c r="Z70" i="1"/>
  <c r="Z58" i="1"/>
  <c r="F53" i="1" s="1"/>
  <c r="F47" i="1" s="1"/>
</calcChain>
</file>

<file path=xl/sharedStrings.xml><?xml version="1.0" encoding="utf-8"?>
<sst xmlns="http://schemas.openxmlformats.org/spreadsheetml/2006/main" count="1599" uniqueCount="462">
  <si>
    <t>Project Information Sysytem</t>
  </si>
  <si>
    <t>Job No.</t>
  </si>
  <si>
    <t>C.O. No.</t>
  </si>
  <si>
    <t>C.O. Date</t>
  </si>
  <si>
    <t>Customer</t>
  </si>
  <si>
    <t>QIF No.</t>
  </si>
  <si>
    <t>QIF Revision</t>
  </si>
  <si>
    <t>QIF Revision Date</t>
  </si>
  <si>
    <t>Selling Office</t>
  </si>
  <si>
    <t>A1: Dammam</t>
  </si>
  <si>
    <t>Receiving Office</t>
  </si>
  <si>
    <t>Form # OM-01 (R0 - 16-11-14)</t>
  </si>
  <si>
    <t>Confidence Factor</t>
  </si>
  <si>
    <t>Estimated at</t>
  </si>
  <si>
    <t>Area Office</t>
  </si>
  <si>
    <t>Rainfall Intensity (mm/h)</t>
  </si>
  <si>
    <t>Project Status</t>
  </si>
  <si>
    <t>Job Status</t>
  </si>
  <si>
    <t>Project ID (CRM)</t>
  </si>
  <si>
    <t>Project Name</t>
  </si>
  <si>
    <t>Order Type</t>
  </si>
  <si>
    <t>Poultry</t>
  </si>
  <si>
    <t>Job Site Location</t>
  </si>
  <si>
    <t>Project Sector</t>
  </si>
  <si>
    <t>Building Sector</t>
  </si>
  <si>
    <t>Customer ID (CRM)</t>
  </si>
  <si>
    <t>Customer Type</t>
  </si>
  <si>
    <t>Construction</t>
  </si>
  <si>
    <t>Contractor</t>
  </si>
  <si>
    <t>Customer Information</t>
  </si>
  <si>
    <t>Phone</t>
  </si>
  <si>
    <t>Contact Person</t>
  </si>
  <si>
    <t>End User</t>
  </si>
  <si>
    <t>Company Name</t>
  </si>
  <si>
    <t>Address</t>
  </si>
  <si>
    <t>Country</t>
  </si>
  <si>
    <t>Erection By</t>
  </si>
  <si>
    <t>Fax</t>
  </si>
  <si>
    <t>Email</t>
  </si>
  <si>
    <t>Title</t>
  </si>
  <si>
    <t>Others</t>
  </si>
  <si>
    <t>1- Project Details</t>
  </si>
  <si>
    <t>Total Weight (MT)</t>
  </si>
  <si>
    <t>Total no of non-identical bldgs</t>
  </si>
  <si>
    <t>Total Trucks</t>
  </si>
  <si>
    <t>Remarks</t>
  </si>
  <si>
    <t>No</t>
  </si>
  <si>
    <t>Identical Buildings</t>
  </si>
  <si>
    <t>Qty</t>
  </si>
  <si>
    <t>Buildings Nos.</t>
  </si>
  <si>
    <t>2- Buildings</t>
  </si>
  <si>
    <t>Building No</t>
  </si>
  <si>
    <t>Phase Details</t>
  </si>
  <si>
    <t>TC</t>
  </si>
  <si>
    <t>SS</t>
  </si>
  <si>
    <t>3- Phase Details</t>
  </si>
  <si>
    <t>Delivery By</t>
  </si>
  <si>
    <t>Partial Shipment</t>
  </si>
  <si>
    <t>Transshipment</t>
  </si>
  <si>
    <t>Shipping Mode</t>
  </si>
  <si>
    <t>Anchor Bolt By</t>
  </si>
  <si>
    <t>Zamil Steel</t>
  </si>
  <si>
    <t>Allowed</t>
  </si>
  <si>
    <t>Overland</t>
  </si>
  <si>
    <t>Anchor Bolt Source</t>
  </si>
  <si>
    <t>Anchor Bolt Ship Mode</t>
  </si>
  <si>
    <t>No of Job Signs</t>
  </si>
  <si>
    <t>Jobsite Signs Ship with</t>
  </si>
  <si>
    <t>Material Inspection</t>
  </si>
  <si>
    <t>from Zamil Steel Factory</t>
  </si>
  <si>
    <t>Ship Prior to Job</t>
  </si>
  <si>
    <t>Building</t>
  </si>
  <si>
    <t>Not Required</t>
  </si>
  <si>
    <t>4- Shipping Condidions</t>
  </si>
  <si>
    <t>6- Required Submittals</t>
  </si>
  <si>
    <t>2+1</t>
  </si>
  <si>
    <t>Type of Submittal</t>
  </si>
  <si>
    <t>Required within (Days)</t>
  </si>
  <si>
    <t>No of Sets</t>
  </si>
  <si>
    <t>7- Payment Terms</t>
  </si>
  <si>
    <t>Penalty</t>
  </si>
  <si>
    <t>Terms of Payment</t>
  </si>
  <si>
    <t>Credit Terms</t>
  </si>
  <si>
    <t>Price List</t>
  </si>
  <si>
    <t>Currency</t>
  </si>
  <si>
    <t>Conversion Rate</t>
  </si>
  <si>
    <t>Performance Bond Required</t>
  </si>
  <si>
    <t>Bank Guarantee Required</t>
  </si>
  <si>
    <t>Bill of Exchange</t>
  </si>
  <si>
    <t>Immediate</t>
  </si>
  <si>
    <t>PEB Building Price List (SAR)</t>
  </si>
  <si>
    <t>SAR</t>
  </si>
  <si>
    <t>Type of Attachment</t>
  </si>
  <si>
    <t>Method of Transmittal</t>
  </si>
  <si>
    <t>Hardcopy</t>
  </si>
  <si>
    <t>9- Erection Tools</t>
  </si>
  <si>
    <t>Erection Tools</t>
  </si>
  <si>
    <t>Responsible Sales Person</t>
  </si>
  <si>
    <t>Approved By</t>
  </si>
  <si>
    <t>Width (m)</t>
  </si>
  <si>
    <t>Length (m)</t>
  </si>
  <si>
    <t>Fabricated At</t>
  </si>
  <si>
    <t>Height Reference</t>
  </si>
  <si>
    <t>Bays Spacings (m)</t>
  </si>
  <si>
    <t>Frame Profile Distribution</t>
  </si>
  <si>
    <t>Width Reference</t>
  </si>
  <si>
    <t>Length Reference</t>
  </si>
  <si>
    <t>Clear Height</t>
  </si>
  <si>
    <t>Clear Span</t>
  </si>
  <si>
    <t>29@6.000</t>
  </si>
  <si>
    <t>* In case of different frame profiles, the details can be found in the remarks</t>
  </si>
  <si>
    <t>Centerline to Centerline of Column Base</t>
  </si>
  <si>
    <t>Width Modules (m)</t>
  </si>
  <si>
    <t>Profile No 01</t>
  </si>
  <si>
    <t>Gable 01: CS</t>
  </si>
  <si>
    <t>End Walls</t>
  </si>
  <si>
    <t>Wall</t>
  </si>
  <si>
    <t>Type</t>
  </si>
  <si>
    <t>Profile</t>
  </si>
  <si>
    <t>LEW</t>
  </si>
  <si>
    <t>REW</t>
  </si>
  <si>
    <t>Rigid Frame</t>
  </si>
  <si>
    <t>Wind Columns (m)</t>
  </si>
  <si>
    <t>Left Slope</t>
  </si>
  <si>
    <t>Ridge Location (m)</t>
  </si>
  <si>
    <t>Remarks:</t>
  </si>
  <si>
    <t>2- Design Codes</t>
  </si>
  <si>
    <t>Design Codes</t>
  </si>
  <si>
    <t>Apply Codes as per</t>
  </si>
  <si>
    <t>Cold Formed design Code</t>
  </si>
  <si>
    <t>Wind Speed (km/h)</t>
  </si>
  <si>
    <t>AISC 1989</t>
  </si>
  <si>
    <t>MBMA 86</t>
  </si>
  <si>
    <t>AISI 86</t>
  </si>
  <si>
    <t>3- Secondary Members</t>
  </si>
  <si>
    <t>Secondary Members (Purlins, Eave Struts, Girts)</t>
  </si>
  <si>
    <t>4- NSW Wall Condition</t>
  </si>
  <si>
    <t>NSW Condition</t>
  </si>
  <si>
    <t>Open Purpose</t>
  </si>
  <si>
    <t>5- FSW Wall Condition</t>
  </si>
  <si>
    <t>6- LEW Wall Condition</t>
  </si>
  <si>
    <t>7- REW Wall Condition</t>
  </si>
  <si>
    <t>Fully Open</t>
  </si>
  <si>
    <t>Access</t>
  </si>
  <si>
    <t>8- Roofs and Walls</t>
  </si>
  <si>
    <t>Roof Panel By</t>
  </si>
  <si>
    <t>Description</t>
  </si>
  <si>
    <t>BCOMS</t>
  </si>
  <si>
    <t>Roof Insulation By</t>
  </si>
  <si>
    <t>Roof Liner By</t>
  </si>
  <si>
    <t>Wall Panels BY</t>
  </si>
  <si>
    <t>Wall Insulation By</t>
  </si>
  <si>
    <t>Wall Liner By</t>
  </si>
  <si>
    <t>NSW Eave Condition</t>
  </si>
  <si>
    <t>SS: S-ZAS-ZSP-0.50-FW</t>
  </si>
  <si>
    <t>None</t>
  </si>
  <si>
    <t>Eave Trim</t>
  </si>
  <si>
    <t>9- Wall panels Related Accessories</t>
  </si>
  <si>
    <t>Wall Panels Related accessories</t>
  </si>
  <si>
    <t>Standard</t>
  </si>
  <si>
    <t>Roof Extension by</t>
  </si>
  <si>
    <t>SN</t>
  </si>
  <si>
    <t>Soffit Panel</t>
  </si>
  <si>
    <t>By</t>
  </si>
  <si>
    <t>Location</t>
  </si>
  <si>
    <t>NA</t>
  </si>
  <si>
    <t>NSW</t>
  </si>
  <si>
    <t>FSW</t>
  </si>
  <si>
    <t>11- Roof Framed Openings</t>
  </si>
  <si>
    <t>Reference</t>
  </si>
  <si>
    <t>Horizontal Dist (m)</t>
  </si>
  <si>
    <t>Lateral Dist (m)</t>
  </si>
  <si>
    <t>Open for</t>
  </si>
  <si>
    <t>Carrying weight (kg)</t>
  </si>
  <si>
    <t>Roof Framed Openings by</t>
  </si>
  <si>
    <t>Wall Framed Openings by</t>
  </si>
  <si>
    <t>Height (m)</t>
  </si>
  <si>
    <t>Vertical Dist (m)</t>
  </si>
  <si>
    <t>Partially Open</t>
  </si>
  <si>
    <t>Fully Sheeted</t>
  </si>
  <si>
    <t>Blocks</t>
  </si>
  <si>
    <t>Zamil Steel - PEB</t>
  </si>
  <si>
    <t>Zamil Steel - RAK</t>
  </si>
  <si>
    <t>Eave Gutter</t>
  </si>
  <si>
    <t>TCSQ</t>
  </si>
  <si>
    <t>TAUQ</t>
  </si>
  <si>
    <t>FWSQ</t>
  </si>
  <si>
    <t>FWUQ</t>
  </si>
  <si>
    <t>TCSO</t>
  </si>
  <si>
    <t>TAUO</t>
  </si>
  <si>
    <t>FWSO</t>
  </si>
  <si>
    <t>FWUO</t>
  </si>
  <si>
    <t>PIR</t>
  </si>
  <si>
    <t>PUR</t>
  </si>
  <si>
    <t>RW</t>
  </si>
  <si>
    <t>Steel</t>
  </si>
  <si>
    <t>Aluminum</t>
  </si>
  <si>
    <t>FRK</t>
  </si>
  <si>
    <t>G30</t>
  </si>
  <si>
    <t>G60</t>
  </si>
  <si>
    <t>G90</t>
  </si>
  <si>
    <t>G120</t>
  </si>
  <si>
    <t>AZ150</t>
  </si>
  <si>
    <t>ZSP</t>
  </si>
  <si>
    <t>ZPF</t>
  </si>
  <si>
    <t>Special</t>
  </si>
  <si>
    <t>FW</t>
  </si>
  <si>
    <t>AB</t>
  </si>
  <si>
    <t>SB</t>
  </si>
  <si>
    <t>RB</t>
  </si>
  <si>
    <t>Special Ral</t>
  </si>
  <si>
    <t>S</t>
  </si>
  <si>
    <t>U</t>
  </si>
  <si>
    <t>Q</t>
  </si>
  <si>
    <t>V</t>
  </si>
  <si>
    <t>Fiberglass</t>
  </si>
  <si>
    <t>Rockwool</t>
  </si>
  <si>
    <t>WALL LINER</t>
  </si>
  <si>
    <t>ROOF LINER</t>
  </si>
  <si>
    <t>PROFILE</t>
  </si>
  <si>
    <t>TA</t>
  </si>
  <si>
    <t>THICK</t>
  </si>
  <si>
    <t>TOP</t>
  </si>
  <si>
    <t>MATERIAL</t>
  </si>
  <si>
    <t>COATING</t>
  </si>
  <si>
    <t>FINISH</t>
  </si>
  <si>
    <t>SP FINISH</t>
  </si>
  <si>
    <t>COLOR</t>
  </si>
  <si>
    <t>SPECIAL Ral</t>
  </si>
  <si>
    <t>thk</t>
  </si>
  <si>
    <t>material</t>
  </si>
  <si>
    <t>core</t>
  </si>
  <si>
    <t>bott skin</t>
  </si>
  <si>
    <t>wall panels</t>
  </si>
  <si>
    <t>dens</t>
  </si>
  <si>
    <t>roof panel</t>
  </si>
  <si>
    <t>W</t>
  </si>
  <si>
    <t>INS: FG-100mm-12kg/m3</t>
  </si>
  <si>
    <t>Bare</t>
  </si>
  <si>
    <t>Top s</t>
  </si>
  <si>
    <t>th</t>
  </si>
  <si>
    <t>ss</t>
  </si>
  <si>
    <t>Out to Out of Steel</t>
  </si>
  <si>
    <t>Lean-to</t>
  </si>
  <si>
    <t>Multi-Gable</t>
  </si>
  <si>
    <t>Canopy</t>
  </si>
  <si>
    <t>Flat Roof</t>
  </si>
  <si>
    <t>Eave Height at Lower Side</t>
  </si>
  <si>
    <t>Standard*</t>
  </si>
  <si>
    <t>10- Roof Extensions/Canopies</t>
  </si>
  <si>
    <t>Material Description</t>
  </si>
  <si>
    <t>Rf Extension</t>
  </si>
  <si>
    <t>Same as Roof</t>
  </si>
  <si>
    <t>Same as Wall</t>
  </si>
  <si>
    <t>Qty of Identicals</t>
  </si>
  <si>
    <t>RUD</t>
  </si>
  <si>
    <t>PD</t>
  </si>
  <si>
    <t>DSD</t>
  </si>
  <si>
    <t>SSD</t>
  </si>
  <si>
    <t>DPD</t>
  </si>
  <si>
    <t>Window</t>
  </si>
  <si>
    <t>Louver</t>
  </si>
  <si>
    <t>Vent</t>
  </si>
  <si>
    <t>12- Wall Framed Openings</t>
  </si>
  <si>
    <t>13- Skylights/Wall Lights</t>
  </si>
  <si>
    <t>Skylight</t>
  </si>
  <si>
    <t>Wall Light</t>
  </si>
  <si>
    <t>Roof</t>
  </si>
  <si>
    <t>All Walls</t>
  </si>
  <si>
    <t>Quantity</t>
  </si>
  <si>
    <t>% of Sheeted Area</t>
  </si>
  <si>
    <t>Distance from Left End (m)</t>
  </si>
  <si>
    <t>Distance from Lower End (m)</t>
  </si>
  <si>
    <t>Width of SL /Height of WL (m)</t>
  </si>
  <si>
    <t>Distribution</t>
  </si>
  <si>
    <t>Adjust Rows</t>
  </si>
  <si>
    <t>Skylights/Wall Lights by</t>
  </si>
  <si>
    <t>Door Type</t>
  </si>
  <si>
    <t>Hieght (m)</t>
  </si>
  <si>
    <t>Scope</t>
  </si>
  <si>
    <t>Panels</t>
  </si>
  <si>
    <t>Liner Panel Profile</t>
  </si>
  <si>
    <t>See Remarks</t>
  </si>
  <si>
    <t>Panels/Framing</t>
  </si>
  <si>
    <t>As Wall Panel</t>
  </si>
  <si>
    <t>As Wall Liner</t>
  </si>
  <si>
    <t>Sliding Doors by</t>
  </si>
  <si>
    <t>14- Sliding Doors</t>
  </si>
  <si>
    <t>15- Personal Doors</t>
  </si>
  <si>
    <t>SPD</t>
  </si>
  <si>
    <t>* DSD: Double Sliding Door, SSD: Single Sliding Door</t>
  </si>
  <si>
    <t>* DSD: Double Personal Door, SSD: Single Personal Door</t>
  </si>
  <si>
    <t>Personal Doors by</t>
  </si>
  <si>
    <t>With Lockset</t>
  </si>
  <si>
    <t>With Panic Devise</t>
  </si>
  <si>
    <t>With Vision</t>
  </si>
  <si>
    <t>With Auto Closer</t>
  </si>
  <si>
    <t>Standard / Special</t>
  </si>
  <si>
    <t>Yes</t>
  </si>
  <si>
    <t>Dist from Left End (m)</t>
  </si>
  <si>
    <t>16- Ridge Vents</t>
  </si>
  <si>
    <t>Ridge Vents by</t>
  </si>
  <si>
    <t>300 Throat</t>
  </si>
  <si>
    <t>600 Throat</t>
  </si>
  <si>
    <t>Vent Type</t>
  </si>
  <si>
    <t>With Damper</t>
  </si>
  <si>
    <t>on Ridge / On Slope</t>
  </si>
  <si>
    <t>On Ridge</t>
  </si>
  <si>
    <t>On Slope</t>
  </si>
  <si>
    <t>Louvers by</t>
  </si>
  <si>
    <t>Standard Size / Special</t>
  </si>
  <si>
    <t>With Bird Screen</t>
  </si>
  <si>
    <t>17- Roof Monitor</t>
  </si>
  <si>
    <t>Roof Monitor by</t>
  </si>
  <si>
    <t>Throat Width (m)</t>
  </si>
  <si>
    <t>Curved Eave</t>
  </si>
  <si>
    <t>Special Size</t>
  </si>
  <si>
    <t>1.0m x 1.0m</t>
  </si>
  <si>
    <t>18- Louvers</t>
  </si>
  <si>
    <t>19- Windows</t>
  </si>
  <si>
    <t>Windows by</t>
  </si>
  <si>
    <t>Sliding</t>
  </si>
  <si>
    <t>Height from Ground (m)</t>
  </si>
  <si>
    <t>20- Other Accessories</t>
  </si>
  <si>
    <t>1.0m x 1.5m</t>
  </si>
  <si>
    <t>1.5m x 1.0m</t>
  </si>
  <si>
    <t>Adjustable*</t>
  </si>
  <si>
    <t>* Standard Adjustable Louvers can be of size 1.0m x 1.0m only</t>
  </si>
  <si>
    <t>DSD (T1)</t>
  </si>
  <si>
    <t>DSD (T2)</t>
  </si>
  <si>
    <t>DSD (B1)</t>
  </si>
  <si>
    <t>SSD (T1)</t>
  </si>
  <si>
    <t xml:space="preserve">True/False </t>
  </si>
  <si>
    <t>min no of unhidden lines</t>
  </si>
  <si>
    <t>First hidden row</t>
  </si>
  <si>
    <t>Last  Row</t>
  </si>
  <si>
    <t>Last Hidden Row before remarks</t>
  </si>
  <si>
    <t>Space Frame</t>
  </si>
  <si>
    <t>Monoslope</t>
  </si>
  <si>
    <t>Building Name</t>
  </si>
  <si>
    <t>Building Type</t>
  </si>
  <si>
    <t>Number of Bays</t>
  </si>
  <si>
    <t>x</t>
  </si>
  <si>
    <t>aa</t>
  </si>
  <si>
    <t>Quotation Number</t>
  </si>
  <si>
    <t>High/Low Wind Zone</t>
  </si>
  <si>
    <t>at center</t>
  </si>
  <si>
    <t>Dead Load (kN/m2)</t>
  </si>
  <si>
    <t>Live Load on Roof (kN/m2)</t>
  </si>
  <si>
    <t>Ground Snow Load (kN/m2)</t>
  </si>
  <si>
    <t>Collateral Load (kN/m2)</t>
  </si>
  <si>
    <t>don’t delete b1 a1</t>
  </si>
  <si>
    <t>don’t allow doublicates</t>
  </si>
  <si>
    <t>update after deleting</t>
  </si>
  <si>
    <t>01</t>
  </si>
  <si>
    <t>gg</t>
  </si>
  <si>
    <t>cc</t>
  </si>
  <si>
    <t>1- Building Parameters and General Notes</t>
  </si>
  <si>
    <t>bb</t>
  </si>
  <si>
    <t>dd</t>
  </si>
  <si>
    <t>ff</t>
  </si>
  <si>
    <t>zz</t>
  </si>
  <si>
    <t>xx</t>
  </si>
  <si>
    <t>vv</t>
  </si>
  <si>
    <t>nn</t>
  </si>
  <si>
    <t>AZ120</t>
  </si>
  <si>
    <t>A2: Riyadh</t>
  </si>
  <si>
    <t>A3: Jeddah</t>
  </si>
  <si>
    <t>RAK</t>
  </si>
  <si>
    <t>Combined</t>
  </si>
  <si>
    <t>Other</t>
  </si>
  <si>
    <t>Head Office</t>
  </si>
  <si>
    <t>Job</t>
  </si>
  <si>
    <t>Parts Order</t>
  </si>
  <si>
    <t>Abdel Salam Kabbara</t>
  </si>
  <si>
    <t>Mohammed Halawani</t>
  </si>
  <si>
    <t>Mahmoud Kahlout</t>
  </si>
  <si>
    <t>Anas Ismael</t>
  </si>
  <si>
    <t>Nasri Majzoub</t>
  </si>
  <si>
    <t>Ryan Guzman</t>
  </si>
  <si>
    <t>Ronel Villanueva</t>
  </si>
  <si>
    <t>Ikramullah Arafath</t>
  </si>
  <si>
    <t>Enayatullah Syed</t>
  </si>
  <si>
    <t>Expected Prodn. Month</t>
  </si>
  <si>
    <t>Detailing</t>
  </si>
  <si>
    <t>no of digits</t>
  </si>
  <si>
    <t>loc of 1st minus</t>
  </si>
  <si>
    <t>loc of 2nd minus</t>
  </si>
  <si>
    <t>loc of 3rd minus</t>
  </si>
  <si>
    <t>loc of 4th minus</t>
  </si>
  <si>
    <t>loc of 1st plus after minus</t>
  </si>
  <si>
    <t>loc of 2nd plus after minus</t>
  </si>
  <si>
    <t>loc of 3rd plus after minus</t>
  </si>
  <si>
    <t>loc of 4th plus after minus</t>
  </si>
  <si>
    <t>no of +</t>
  </si>
  <si>
    <t>total</t>
  </si>
  <si>
    <t>Total no of buildings</t>
  </si>
  <si>
    <t>Non-Identical Buildings</t>
  </si>
  <si>
    <t>Numbering Details</t>
  </si>
  <si>
    <t>Phase Nos</t>
  </si>
  <si>
    <t>Description of Non Standard Material:</t>
  </si>
  <si>
    <t>4- Non Standard Inventory</t>
  </si>
  <si>
    <t>5- Attachments</t>
  </si>
  <si>
    <t>6- Job Status</t>
  </si>
  <si>
    <t>7- Approvals</t>
  </si>
  <si>
    <t>Architectural Drawings</t>
  </si>
  <si>
    <t>Structural Drawings</t>
  </si>
  <si>
    <t>Customer Sketches</t>
  </si>
  <si>
    <t>AO Sketches</t>
  </si>
  <si>
    <t>Estimate Sheet</t>
  </si>
  <si>
    <t>General Customer Drawings</t>
  </si>
  <si>
    <t>Educational</t>
  </si>
  <si>
    <t>Industrial</t>
  </si>
  <si>
    <t>8+</t>
  </si>
  <si>
    <t>Approval Drawings</t>
  </si>
  <si>
    <t>Erection Drawings</t>
  </si>
  <si>
    <t>CD</t>
  </si>
  <si>
    <t>eMail</t>
  </si>
  <si>
    <t>download</t>
  </si>
  <si>
    <t>Purchase Order</t>
  </si>
  <si>
    <t>Contract</t>
  </si>
  <si>
    <t>Approval</t>
  </si>
  <si>
    <t>Hold</t>
  </si>
  <si>
    <t>Cancelled</t>
  </si>
  <si>
    <t>Protective Film</t>
  </si>
  <si>
    <t>On Top Skin</t>
  </si>
  <si>
    <t>On Bottom Skin</t>
  </si>
  <si>
    <t>On Both Skins</t>
  </si>
  <si>
    <t>Curved Eave with Projn and Valley Gutter</t>
  </si>
  <si>
    <t>Curved Eave without Projn, with Valley Gutter</t>
  </si>
  <si>
    <t>Curved Eave with Projn, without Valley Gutter</t>
  </si>
  <si>
    <t>Curved Eave without Projn, without Valley Gutter</t>
  </si>
  <si>
    <t>Other Details</t>
  </si>
  <si>
    <t>Cold Formed</t>
  </si>
  <si>
    <t>Hot Rolled</t>
  </si>
  <si>
    <t>Stainless Steel</t>
  </si>
  <si>
    <t>Carbon Steel</t>
  </si>
  <si>
    <t>On Lowrib</t>
  </si>
  <si>
    <t>On Highrib at roof</t>
  </si>
  <si>
    <t>Always at Highrib</t>
  </si>
  <si>
    <t>Screw Location</t>
  </si>
  <si>
    <t>Screw Type</t>
  </si>
  <si>
    <t>Saeed Chehadeh</t>
  </si>
  <si>
    <t>B01-A01</t>
  </si>
  <si>
    <t>Form # OM-01 (R0 - 03-04-17)</t>
  </si>
  <si>
    <t>Order Management Engineer</t>
  </si>
  <si>
    <t>Order Management Manager</t>
  </si>
  <si>
    <t>NAJRIS FOR CONTRACTING EST</t>
  </si>
  <si>
    <t xml:space="preserve">50	</t>
  </si>
  <si>
    <t>Follow Customer dwgs</t>
  </si>
  <si>
    <t>PPGI G60</t>
  </si>
  <si>
    <t>Mr. Fayaz</t>
  </si>
  <si>
    <t>REV01</t>
  </si>
  <si>
    <t>CA2-24-001-Rev01</t>
  </si>
  <si>
    <t>Masallati</t>
  </si>
  <si>
    <t>CA2-5407-04</t>
  </si>
  <si>
    <t>Entrance@Qassim - Najris Project</t>
  </si>
  <si>
    <t>Qassim</t>
  </si>
  <si>
    <t>04</t>
  </si>
  <si>
    <t>B-04</t>
  </si>
  <si>
    <t xml:space="preserve">C.O.01- FOLLOWING THE RAD "APPROVED AS IS " for  B-04 Entrance@Qassim - Najris Project.
</t>
  </si>
  <si>
    <t>PH-01 – ROOF TEMPCON
PH-15 – ALL THE TRIMS (OUTER &amp; INNER) WILL BE 0.5 FW / 1.2 GALV.
PH-25- STD, BUYOUTS
PH-67- STOCK DOWNSPOUTS.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</si>
</sst>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26" x14ac:knownFonts="1">
    <font>
      <sz val="16"/>
      <color theme="1"/>
      <name val="Calibri"/>
      <family val="2"/>
      <scheme val="minor"/>
    </font>
    <font>
      <sz val="8"/>
      <color theme="1"/>
      <name val="Calibri"/>
      <family val="2"/>
      <scheme val="minor"/>
    </font>
    <font>
      <b/>
      <sz val="8"/>
      <color theme="1"/>
      <name val="Calibri"/>
      <family val="2"/>
      <scheme val="minor"/>
    </font>
    <font>
      <sz val="8"/>
      <color rgb="FF002060"/>
      <name val="Calibri"/>
      <family val="2"/>
      <scheme val="minor"/>
    </font>
    <font>
      <b/>
      <sz val="10"/>
      <color theme="1"/>
      <name val="Calibri"/>
      <family val="2"/>
      <scheme val="minor"/>
    </font>
    <font>
      <sz val="6"/>
      <color theme="1"/>
      <name val="Calibri"/>
      <family val="2"/>
      <scheme val="minor"/>
    </font>
    <font>
      <sz val="14"/>
      <color theme="1"/>
      <name val="Calibri"/>
      <family val="2"/>
      <scheme val="minor"/>
    </font>
    <font>
      <sz val="10"/>
      <color theme="1"/>
      <name val="Calibri"/>
      <family val="2"/>
      <scheme val="minor"/>
    </font>
    <font>
      <sz val="8"/>
      <name val="Calibri"/>
      <family val="2"/>
      <scheme val="minor"/>
    </font>
    <font>
      <sz val="7"/>
      <color rgb="FF002060"/>
      <name val="Calibri"/>
      <family val="2"/>
      <scheme val="minor"/>
    </font>
    <font>
      <sz val="6"/>
      <color rgb="FF002060"/>
      <name val="Calibri"/>
      <family val="2"/>
      <scheme val="minor"/>
    </font>
    <font>
      <sz val="8"/>
      <color theme="4" tint="-0.499984740745262"/>
      <name val="Calibri"/>
      <family val="2"/>
      <scheme val="minor"/>
    </font>
    <font>
      <sz val="8"/>
      <color theme="3" tint="-0.499984740745262"/>
      <name val="Calibri"/>
      <family val="2"/>
      <scheme val="minor"/>
    </font>
    <font>
      <sz val="8"/>
      <color rgb="FFFF0000"/>
      <name val="Calibri"/>
      <family val="2"/>
      <scheme val="minor"/>
    </font>
    <font>
      <sz val="8"/>
      <color theme="6"/>
      <name val="Calibri"/>
      <family val="2"/>
      <scheme val="minor"/>
    </font>
    <font>
      <sz val="8"/>
      <color theme="3" tint="-0.249977111117893"/>
      <name val="Calibri"/>
      <family val="2"/>
      <scheme val="minor"/>
    </font>
    <font>
      <sz val="16"/>
      <color theme="3" tint="-0.249977111117893"/>
      <name val="Calibri"/>
      <family val="2"/>
      <scheme val="minor"/>
    </font>
    <font>
      <sz val="10"/>
      <color theme="3" tint="-0.249977111117893"/>
      <name val="Calibri"/>
      <family val="2"/>
      <scheme val="minor"/>
    </font>
    <font>
      <sz val="10"/>
      <color rgb="FF0000FF"/>
      <name val="Calibri"/>
      <family val="2"/>
    </font>
    <font>
      <b/>
      <sz val="10"/>
      <color rgb="FF0000FF"/>
      <name val="Calibri"/>
      <family val="2"/>
    </font>
    <font>
      <sz val="16"/>
      <color rgb="FF000000"/>
      <name val="Calibri"/>
      <family val="2"/>
    </font>
    <font>
      <b/>
      <sz val="8"/>
      <color rgb="FF002060"/>
      <name val="Calibri"/>
      <family val="2"/>
      <scheme val="minor"/>
    </font>
    <font>
      <sz val="16"/>
      <color rgb="FF002060"/>
      <name val="Calibri"/>
      <family val="2"/>
      <scheme val="minor"/>
    </font>
    <font>
      <b/>
      <sz val="10"/>
      <color rgb="FF000000"/>
      <name val="Calibri"/>
      <family val="2"/>
    </font>
    <font>
      <b/>
      <sz val="9"/>
      <color rgb="FF0000FF"/>
      <name val="Calibri"/>
      <family val="2"/>
    </font>
    <font>
      <b/>
      <sz val="10"/>
      <color theme="4" tint="-0.499984740745262"/>
      <name val="Calibri"/>
      <family val="2"/>
      <scheme val="minor"/>
    </font>
  </fonts>
  <fills count="14">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rgb="FFF7F7F7"/>
        <bgColor indexed="64"/>
      </patternFill>
    </fill>
    <fill>
      <patternFill patternType="solid">
        <fgColor rgb="FFF8F8F8"/>
        <bgColor indexed="64"/>
      </patternFill>
    </fill>
    <fill>
      <patternFill patternType="solid">
        <fgColor theme="0" tint="-4.9989318521683403E-2"/>
        <bgColor indexed="64"/>
      </patternFill>
    </fill>
    <fill>
      <patternFill patternType="solid">
        <fgColor theme="0" tint="-0.14999847407452621"/>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auto="1"/>
      </left>
      <right/>
      <top/>
      <bottom/>
      <diagonal/>
    </border>
    <border>
      <left/>
      <right style="thin">
        <color auto="1"/>
      </right>
      <top/>
      <bottom/>
      <diagonal/>
    </border>
    <border>
      <left/>
      <right/>
      <top/>
      <bottom style="thin">
        <color auto="1"/>
      </bottom>
      <diagonal/>
    </border>
    <border>
      <left/>
      <right/>
      <top/>
      <bottom style="medium">
        <color auto="1"/>
      </bottom>
      <diagonal/>
    </border>
    <border>
      <left/>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auto="1"/>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style="medium">
        <color auto="1"/>
      </bottom>
      <diagonal/>
    </border>
    <border>
      <left style="medium">
        <color indexed="64"/>
      </left>
      <right style="thin">
        <color indexed="64"/>
      </right>
      <top/>
      <bottom style="medium">
        <color auto="1"/>
      </bottom>
      <diagonal/>
    </border>
    <border>
      <left/>
      <right/>
      <top style="medium">
        <color indexed="64"/>
      </top>
      <bottom style="thin">
        <color indexed="64"/>
      </bottom>
      <diagonal/>
    </border>
    <border>
      <left/>
      <right/>
      <top style="medium">
        <color indexed="64"/>
      </top>
      <bottom style="medium">
        <color indexed="64"/>
      </bottom>
      <diagonal/>
    </border>
  </borders>
  <cellStyleXfs count="1">
    <xf numFmtId="0" fontId="0" fillId="0" borderId="0"/>
  </cellStyleXfs>
  <cellXfs count="394">
    <xf numFmtId="0" fontId="0" fillId="0" borderId="0" xfId="0"/>
    <xf numFmtId="0" fontId="1" fillId="0" borderId="0" xfId="0" applyFont="1" applyAlignment="1">
      <alignment vertical="center"/>
    </xf>
    <xf numFmtId="0" fontId="1" fillId="0" borderId="0" xfId="0" applyFont="1"/>
    <xf numFmtId="0" fontId="1" fillId="0" borderId="18" xfId="0" applyFont="1" applyBorder="1" applyAlignment="1">
      <alignment vertical="center"/>
    </xf>
    <xf numFmtId="0" fontId="1" fillId="0" borderId="21" xfId="0" applyFont="1" applyBorder="1" applyAlignment="1">
      <alignment vertical="center"/>
    </xf>
    <xf numFmtId="0" fontId="1" fillId="0" borderId="0" xfId="0" applyFont="1" applyBorder="1" applyAlignment="1">
      <alignment vertical="center"/>
    </xf>
    <xf numFmtId="0" fontId="1" fillId="0" borderId="0" xfId="0" applyFont="1" applyBorder="1" applyAlignment="1">
      <alignment horizontal="left" vertical="center"/>
    </xf>
    <xf numFmtId="0" fontId="1" fillId="0" borderId="23" xfId="0" applyFont="1" applyBorder="1" applyAlignment="1">
      <alignment vertical="center"/>
    </xf>
    <xf numFmtId="0" fontId="1" fillId="0" borderId="16" xfId="0" applyFont="1" applyBorder="1" applyAlignment="1">
      <alignment vertical="center"/>
    </xf>
    <xf numFmtId="0" fontId="1" fillId="0" borderId="15" xfId="0" applyFont="1" applyBorder="1" applyAlignment="1">
      <alignment vertical="center"/>
    </xf>
    <xf numFmtId="0" fontId="3" fillId="0" borderId="15" xfId="0" applyFont="1" applyBorder="1" applyAlignment="1">
      <alignment vertical="center"/>
    </xf>
    <xf numFmtId="0" fontId="1" fillId="0" borderId="7" xfId="0" applyFont="1" applyBorder="1" applyAlignment="1">
      <alignment vertical="center"/>
    </xf>
    <xf numFmtId="0" fontId="3" fillId="0" borderId="7" xfId="0" applyFont="1" applyBorder="1" applyAlignment="1">
      <alignment vertical="center"/>
    </xf>
    <xf numFmtId="0" fontId="1" fillId="0" borderId="17" xfId="0" applyFont="1" applyBorder="1" applyAlignment="1">
      <alignment vertical="center"/>
    </xf>
    <xf numFmtId="0" fontId="3" fillId="0" borderId="17" xfId="0" applyFont="1" applyBorder="1" applyAlignment="1">
      <alignment vertical="center"/>
    </xf>
    <xf numFmtId="0" fontId="3" fillId="0" borderId="1" xfId="0" applyFont="1" applyBorder="1" applyAlignment="1">
      <alignment horizontal="center" vertical="center"/>
    </xf>
    <xf numFmtId="0" fontId="3" fillId="0" borderId="0" xfId="0" applyFont="1" applyBorder="1" applyAlignment="1">
      <alignment horizontal="center" vertical="center"/>
    </xf>
    <xf numFmtId="0" fontId="3" fillId="0" borderId="0" xfId="0" applyFont="1" applyBorder="1" applyAlignment="1">
      <alignment vertical="center"/>
    </xf>
    <xf numFmtId="0" fontId="1" fillId="0" borderId="0" xfId="0" applyFont="1" applyBorder="1"/>
    <xf numFmtId="0" fontId="3" fillId="0" borderId="0" xfId="0" applyFont="1" applyBorder="1" applyAlignment="1">
      <alignment horizontal="left" vertical="center"/>
    </xf>
    <xf numFmtId="0" fontId="2" fillId="0" borderId="0" xfId="0" applyFont="1" applyBorder="1" applyAlignment="1">
      <alignment vertical="center"/>
    </xf>
    <xf numFmtId="0" fontId="1" fillId="0" borderId="12" xfId="0" applyFont="1" applyBorder="1" applyAlignment="1">
      <alignment vertical="center"/>
    </xf>
    <xf numFmtId="0" fontId="3" fillId="0" borderId="12" xfId="0" applyFont="1" applyBorder="1" applyAlignment="1">
      <alignment vertical="center"/>
    </xf>
    <xf numFmtId="0" fontId="1" fillId="0" borderId="1" xfId="0" applyFont="1" applyBorder="1" applyAlignment="1">
      <alignment vertical="center"/>
    </xf>
    <xf numFmtId="0" fontId="1" fillId="0" borderId="0" xfId="0" applyFont="1" applyAlignment="1">
      <alignment horizontal="left" vertical="center"/>
    </xf>
    <xf numFmtId="0" fontId="1" fillId="0" borderId="0" xfId="0" applyFont="1" applyBorder="1" applyAlignment="1">
      <alignment horizontal="center" vertical="center"/>
    </xf>
    <xf numFmtId="0" fontId="1" fillId="0" borderId="0" xfId="0" applyFont="1" applyAlignment="1">
      <alignment horizontal="center"/>
    </xf>
    <xf numFmtId="0" fontId="3" fillId="3" borderId="7" xfId="0" applyFont="1" applyFill="1" applyBorder="1" applyAlignment="1">
      <alignment horizontal="center" vertical="center"/>
    </xf>
    <xf numFmtId="0" fontId="1" fillId="0" borderId="0" xfId="0" applyFont="1" applyAlignment="1">
      <alignment horizontal="right"/>
    </xf>
    <xf numFmtId="0" fontId="1" fillId="0" borderId="0" xfId="0" applyFont="1" applyAlignment="1">
      <alignment horizontal="left"/>
    </xf>
    <xf numFmtId="0" fontId="1" fillId="0" borderId="0" xfId="0" applyFont="1" applyBorder="1" applyAlignment="1">
      <alignment horizontal="center"/>
    </xf>
    <xf numFmtId="0" fontId="1" fillId="4" borderId="0" xfId="0" applyFont="1" applyFill="1" applyAlignment="1">
      <alignment horizontal="center"/>
    </xf>
    <xf numFmtId="0" fontId="1" fillId="5" borderId="0" xfId="0" applyFont="1" applyFill="1" applyAlignment="1">
      <alignment horizontal="center"/>
    </xf>
    <xf numFmtId="0" fontId="1" fillId="6" borderId="0" xfId="0" applyFont="1" applyFill="1" applyAlignment="1">
      <alignment horizontal="center"/>
    </xf>
    <xf numFmtId="0" fontId="1" fillId="8" borderId="0" xfId="0" applyFont="1" applyFill="1" applyAlignment="1">
      <alignment horizontal="center"/>
    </xf>
    <xf numFmtId="0" fontId="1" fillId="0" borderId="12" xfId="0" applyFont="1" applyBorder="1"/>
    <xf numFmtId="0" fontId="1" fillId="6" borderId="0" xfId="0" applyFont="1" applyFill="1" applyAlignment="1">
      <alignment horizontal="right"/>
    </xf>
    <xf numFmtId="0" fontId="1" fillId="7" borderId="0" xfId="0" applyFont="1" applyFill="1" applyAlignment="1">
      <alignment horizontal="right"/>
    </xf>
    <xf numFmtId="0" fontId="1" fillId="0" borderId="0" xfId="0" applyFont="1" applyBorder="1" applyAlignment="1">
      <alignment horizontal="right"/>
    </xf>
    <xf numFmtId="0" fontId="3" fillId="3" borderId="0" xfId="0" applyFont="1" applyFill="1" applyBorder="1" applyAlignment="1">
      <alignment horizontal="center" vertical="center"/>
    </xf>
    <xf numFmtId="0" fontId="4" fillId="0" borderId="0" xfId="0" applyFont="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1" fillId="3" borderId="0" xfId="0" applyFont="1" applyFill="1" applyBorder="1" applyAlignment="1">
      <alignment vertical="center"/>
    </xf>
    <xf numFmtId="0" fontId="1" fillId="0" borderId="0" xfId="0" quotePrefix="1" applyFont="1" applyAlignment="1">
      <alignment horizontal="center"/>
    </xf>
    <xf numFmtId="0" fontId="1" fillId="0" borderId="0" xfId="0" quotePrefix="1" applyFont="1" applyAlignment="1">
      <alignment horizontal="center" vertical="center"/>
    </xf>
    <xf numFmtId="0" fontId="1" fillId="4" borderId="25" xfId="0" applyFont="1" applyFill="1" applyBorder="1" applyAlignment="1">
      <alignment horizontal="center"/>
    </xf>
    <xf numFmtId="165" fontId="0" fillId="0" borderId="0" xfId="0" applyNumberFormat="1"/>
    <xf numFmtId="0" fontId="0" fillId="2" borderId="0" xfId="0" applyFill="1"/>
    <xf numFmtId="49" fontId="0" fillId="0" borderId="0" xfId="0" applyNumberFormat="1" applyAlignment="1"/>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0" xfId="0" applyFont="1" applyAlignment="1">
      <alignment horizontal="center" vertical="center"/>
    </xf>
    <xf numFmtId="0" fontId="0" fillId="0" borderId="0" xfId="0" applyAlignment="1"/>
    <xf numFmtId="0" fontId="1" fillId="0" borderId="19" xfId="0" applyFont="1" applyBorder="1" applyAlignment="1">
      <alignment vertical="center"/>
    </xf>
    <xf numFmtId="0" fontId="3" fillId="0" borderId="19" xfId="0" applyFont="1" applyBorder="1" applyAlignment="1">
      <alignment vertical="center"/>
    </xf>
    <xf numFmtId="0" fontId="3" fillId="0" borderId="1" xfId="0" applyFont="1" applyFill="1" applyBorder="1" applyAlignment="1">
      <alignment horizontal="center" vertical="center"/>
    </xf>
    <xf numFmtId="0" fontId="1" fillId="0" borderId="19" xfId="0" applyFont="1" applyBorder="1"/>
    <xf numFmtId="2" fontId="0" fillId="0" borderId="0" xfId="0" applyNumberFormat="1"/>
    <xf numFmtId="0" fontId="1" fillId="2" borderId="0" xfId="0" applyFont="1" applyFill="1" applyAlignment="1">
      <alignment vertical="center"/>
    </xf>
    <xf numFmtId="14" fontId="0" fillId="0" borderId="0" xfId="0" applyNumberFormat="1"/>
    <xf numFmtId="165" fontId="1" fillId="9" borderId="0" xfId="0" applyNumberFormat="1" applyFont="1" applyFill="1" applyAlignment="1">
      <alignment horizontal="center" vertical="center"/>
    </xf>
    <xf numFmtId="165" fontId="1" fillId="9" borderId="0" xfId="0" applyNumberFormat="1" applyFont="1" applyFill="1" applyAlignment="1">
      <alignment horizontal="center"/>
    </xf>
    <xf numFmtId="0" fontId="1" fillId="9" borderId="0" xfId="0" applyFont="1" applyFill="1" applyAlignment="1">
      <alignment horizontal="center" vertical="center"/>
    </xf>
    <xf numFmtId="0" fontId="1" fillId="9" borderId="0" xfId="0" applyFont="1" applyFill="1" applyAlignment="1">
      <alignment horizontal="center"/>
    </xf>
    <xf numFmtId="0" fontId="1" fillId="9" borderId="0" xfId="0" applyFont="1" applyFill="1"/>
    <xf numFmtId="0" fontId="1" fillId="0" borderId="0" xfId="0" applyFont="1" applyFill="1" applyAlignment="1">
      <alignment horizontal="center" vertical="center"/>
    </xf>
    <xf numFmtId="0" fontId="1" fillId="0" borderId="0" xfId="0" applyFont="1" applyFill="1"/>
    <xf numFmtId="0" fontId="1" fillId="0" borderId="0" xfId="0" applyFont="1" applyAlignment="1">
      <alignment horizontal="center" vertical="center"/>
    </xf>
    <xf numFmtId="0" fontId="1" fillId="0" borderId="7" xfId="0" applyFont="1" applyFill="1" applyBorder="1" applyAlignment="1">
      <alignment vertical="center"/>
    </xf>
    <xf numFmtId="0" fontId="1" fillId="2" borderId="0" xfId="0" applyFont="1" applyFill="1"/>
    <xf numFmtId="0" fontId="1" fillId="2" borderId="0" xfId="0" applyFont="1" applyFill="1" applyAlignment="1">
      <alignment horizontal="center"/>
    </xf>
    <xf numFmtId="0" fontId="1" fillId="9" borderId="0" xfId="0" applyFont="1" applyFill="1" applyAlignment="1">
      <alignment vertical="center"/>
    </xf>
    <xf numFmtId="0" fontId="13" fillId="9" borderId="0" xfId="0" applyFont="1" applyFill="1"/>
    <xf numFmtId="0" fontId="13" fillId="0" borderId="0" xfId="0" applyFont="1"/>
    <xf numFmtId="0" fontId="14" fillId="0" borderId="0" xfId="0" applyFont="1"/>
    <xf numFmtId="0" fontId="4" fillId="0" borderId="1" xfId="0" applyFont="1" applyFill="1" applyBorder="1" applyAlignment="1">
      <alignment horizontal="center" vertical="center"/>
    </xf>
    <xf numFmtId="0" fontId="1" fillId="0" borderId="0" xfId="0" applyFont="1" applyFill="1" applyAlignment="1">
      <alignment vertical="center"/>
    </xf>
    <xf numFmtId="0" fontId="1" fillId="0" borderId="0" xfId="0" applyFont="1" applyFill="1" applyAlignment="1">
      <alignment horizontal="center"/>
    </xf>
    <xf numFmtId="0" fontId="1" fillId="0" borderId="15" xfId="0" applyFont="1" applyBorder="1" applyAlignment="1">
      <alignment horizontal="left" vertical="center"/>
    </xf>
    <xf numFmtId="0" fontId="1" fillId="0" borderId="0" xfId="0" applyFont="1" applyBorder="1" applyAlignment="1">
      <alignment horizontal="center" vertical="center"/>
    </xf>
    <xf numFmtId="0" fontId="1" fillId="0" borderId="0" xfId="0" applyFont="1" applyAlignment="1">
      <alignment horizontal="center"/>
    </xf>
    <xf numFmtId="0" fontId="3" fillId="0" borderId="0" xfId="0" applyFont="1" applyFill="1" applyBorder="1" applyAlignment="1">
      <alignment horizontal="center" vertical="center"/>
    </xf>
    <xf numFmtId="0" fontId="1" fillId="0" borderId="0" xfId="0" applyFont="1" applyFill="1" applyBorder="1"/>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xf>
    <xf numFmtId="0" fontId="1" fillId="0" borderId="17" xfId="0" applyFont="1" applyFill="1" applyBorder="1" applyAlignment="1">
      <alignment horizontal="center" vertical="center"/>
    </xf>
    <xf numFmtId="0" fontId="1" fillId="0" borderId="0" xfId="0" applyFont="1" applyFill="1" applyBorder="1" applyAlignment="1">
      <alignment vertical="center"/>
    </xf>
    <xf numFmtId="0" fontId="4" fillId="0" borderId="0" xfId="0" applyFont="1" applyBorder="1" applyAlignment="1">
      <alignment vertical="center"/>
    </xf>
    <xf numFmtId="0" fontId="15" fillId="0" borderId="16" xfId="0" applyFont="1" applyBorder="1" applyAlignment="1">
      <alignment vertical="center"/>
    </xf>
    <xf numFmtId="0" fontId="15" fillId="0" borderId="12" xfId="0" applyFont="1" applyBorder="1" applyAlignment="1">
      <alignment vertical="center"/>
    </xf>
    <xf numFmtId="0" fontId="15" fillId="0" borderId="12" xfId="0" applyFont="1" applyBorder="1" applyAlignment="1">
      <alignment horizontal="left" vertical="center"/>
    </xf>
    <xf numFmtId="0" fontId="15" fillId="0" borderId="0" xfId="0" applyFont="1" applyBorder="1" applyAlignment="1">
      <alignment vertical="center"/>
    </xf>
    <xf numFmtId="0" fontId="15" fillId="0" borderId="0" xfId="0" applyFont="1" applyBorder="1" applyAlignment="1">
      <alignment horizontal="left" vertical="center"/>
    </xf>
    <xf numFmtId="0" fontId="15" fillId="0" borderId="7" xfId="0" applyFont="1" applyBorder="1" applyAlignment="1">
      <alignment vertical="center"/>
    </xf>
    <xf numFmtId="0" fontId="15" fillId="0" borderId="1" xfId="0" applyFont="1" applyBorder="1" applyAlignment="1">
      <alignment horizontal="center" vertical="center"/>
    </xf>
    <xf numFmtId="0" fontId="15" fillId="0" borderId="5" xfId="0" applyFont="1" applyBorder="1" applyAlignment="1">
      <alignment vertical="center"/>
    </xf>
    <xf numFmtId="0" fontId="3" fillId="0" borderId="0" xfId="0" applyFont="1" applyFill="1" applyBorder="1" applyAlignment="1">
      <alignment horizontal="left" vertical="center"/>
    </xf>
    <xf numFmtId="0" fontId="0" fillId="0" borderId="0" xfId="0" applyFill="1" applyBorder="1" applyAlignment="1">
      <alignment horizontal="left" vertical="center"/>
    </xf>
    <xf numFmtId="0" fontId="1" fillId="0" borderId="19" xfId="0" applyFont="1" applyBorder="1" applyAlignment="1">
      <alignment horizontal="left" vertical="center"/>
    </xf>
    <xf numFmtId="0" fontId="1" fillId="0" borderId="0" xfId="0" applyFont="1" applyAlignment="1">
      <alignment horizontal="center"/>
    </xf>
    <xf numFmtId="0" fontId="2" fillId="0" borderId="15" xfId="0" applyFont="1" applyBorder="1" applyAlignment="1">
      <alignment vertical="center"/>
    </xf>
    <xf numFmtId="0" fontId="2" fillId="0" borderId="0" xfId="0" applyFont="1" applyBorder="1" applyAlignment="1">
      <alignment horizontal="left" vertical="center" indent="1"/>
    </xf>
    <xf numFmtId="0" fontId="3" fillId="0" borderId="7" xfId="0" applyFont="1" applyFill="1" applyBorder="1" applyAlignment="1">
      <alignment vertical="center"/>
    </xf>
    <xf numFmtId="0" fontId="15" fillId="10" borderId="7" xfId="0" applyFont="1" applyFill="1" applyBorder="1" applyAlignment="1" applyProtection="1">
      <alignment vertical="center"/>
      <protection locked="0"/>
    </xf>
    <xf numFmtId="0" fontId="16" fillId="11" borderId="7" xfId="0" applyFont="1" applyFill="1" applyBorder="1" applyAlignment="1" applyProtection="1">
      <alignment vertical="center"/>
      <protection locked="0"/>
    </xf>
    <xf numFmtId="0" fontId="15" fillId="10" borderId="1" xfId="0" applyFont="1" applyFill="1" applyBorder="1" applyAlignment="1" applyProtection="1">
      <alignment horizontal="center" vertical="center"/>
      <protection locked="0"/>
    </xf>
    <xf numFmtId="0" fontId="1" fillId="0" borderId="7" xfId="0" applyFont="1" applyBorder="1" applyAlignment="1" applyProtection="1">
      <alignment vertical="center"/>
      <protection locked="0"/>
    </xf>
    <xf numFmtId="49" fontId="15" fillId="12" borderId="1" xfId="0" applyNumberFormat="1" applyFont="1" applyFill="1" applyBorder="1" applyAlignment="1" applyProtection="1">
      <alignment horizontal="center" vertical="center"/>
      <protection locked="0"/>
    </xf>
    <xf numFmtId="0" fontId="15" fillId="12" borderId="1" xfId="0" applyFont="1" applyFill="1" applyBorder="1" applyAlignment="1" applyProtection="1">
      <alignment horizontal="center" vertical="center"/>
      <protection locked="0"/>
    </xf>
    <xf numFmtId="49" fontId="3" fillId="12" borderId="1" xfId="0" applyNumberFormat="1" applyFont="1" applyFill="1" applyBorder="1" applyAlignment="1" applyProtection="1">
      <alignment horizontal="center" vertical="center"/>
      <protection locked="0"/>
    </xf>
    <xf numFmtId="0" fontId="3" fillId="12" borderId="1" xfId="0" applyFont="1" applyFill="1" applyBorder="1" applyAlignment="1" applyProtection="1">
      <alignment horizontal="left" vertical="center"/>
      <protection locked="0"/>
    </xf>
    <xf numFmtId="164" fontId="3" fillId="12" borderId="1" xfId="0" applyNumberFormat="1" applyFont="1" applyFill="1" applyBorder="1" applyAlignment="1" applyProtection="1">
      <alignment horizontal="center" vertical="center"/>
      <protection locked="0"/>
    </xf>
    <xf numFmtId="0" fontId="3" fillId="12" borderId="15" xfId="0" applyFont="1" applyFill="1" applyBorder="1" applyAlignment="1" applyProtection="1">
      <alignment horizontal="left" vertical="center"/>
      <protection locked="0"/>
    </xf>
    <xf numFmtId="164" fontId="10" fillId="12" borderId="1" xfId="0" applyNumberFormat="1" applyFont="1" applyFill="1" applyBorder="1" applyAlignment="1" applyProtection="1">
      <alignment horizontal="center" vertical="center"/>
      <protection locked="0"/>
    </xf>
    <xf numFmtId="0" fontId="10" fillId="12" borderId="1" xfId="0" applyFont="1" applyFill="1" applyBorder="1" applyAlignment="1" applyProtection="1">
      <alignment horizontal="center" vertical="center"/>
      <protection locked="0"/>
    </xf>
    <xf numFmtId="0" fontId="3" fillId="12" borderId="1" xfId="0" applyFont="1" applyFill="1" applyBorder="1" applyAlignment="1" applyProtection="1">
      <alignment horizontal="center" vertical="center"/>
      <protection locked="0"/>
    </xf>
    <xf numFmtId="164" fontId="3" fillId="12" borderId="5" xfId="0" applyNumberFormat="1" applyFont="1" applyFill="1" applyBorder="1" applyAlignment="1" applyProtection="1">
      <alignment horizontal="center" vertical="center"/>
      <protection locked="0"/>
    </xf>
    <xf numFmtId="0" fontId="9" fillId="12" borderId="1" xfId="0" applyFont="1" applyFill="1" applyBorder="1" applyAlignment="1" applyProtection="1">
      <alignment horizontal="left" vertical="center" wrapText="1"/>
      <protection locked="0"/>
    </xf>
    <xf numFmtId="0" fontId="1" fillId="12" borderId="1" xfId="0" applyFont="1" applyFill="1" applyBorder="1" applyAlignment="1" applyProtection="1">
      <alignment horizontal="center" vertical="center" wrapText="1"/>
      <protection locked="0"/>
    </xf>
    <xf numFmtId="0" fontId="3" fillId="12" borderId="6" xfId="0" applyFont="1" applyFill="1" applyBorder="1" applyAlignment="1" applyProtection="1">
      <alignment horizontal="center" vertical="center"/>
      <protection locked="0"/>
    </xf>
    <xf numFmtId="0" fontId="3" fillId="12" borderId="6" xfId="0" applyFont="1" applyFill="1" applyBorder="1" applyAlignment="1" applyProtection="1">
      <alignment vertical="center"/>
      <protection locked="0"/>
    </xf>
    <xf numFmtId="164" fontId="3" fillId="12" borderId="1" xfId="0" quotePrefix="1" applyNumberFormat="1" applyFont="1" applyFill="1" applyBorder="1" applyAlignment="1" applyProtection="1">
      <alignment horizontal="center" vertical="center"/>
      <protection locked="0"/>
    </xf>
    <xf numFmtId="0" fontId="3" fillId="12" borderId="15" xfId="0" applyFont="1" applyFill="1" applyBorder="1" applyAlignment="1" applyProtection="1">
      <alignment horizontal="center" vertical="center"/>
      <protection locked="0"/>
    </xf>
    <xf numFmtId="0" fontId="3" fillId="12" borderId="5" xfId="0" applyFont="1" applyFill="1" applyBorder="1" applyAlignment="1" applyProtection="1">
      <alignment vertical="center"/>
      <protection locked="0"/>
    </xf>
    <xf numFmtId="0" fontId="15" fillId="12" borderId="5" xfId="0" applyFont="1" applyFill="1" applyBorder="1" applyAlignment="1" applyProtection="1">
      <alignment vertical="center"/>
      <protection locked="0"/>
    </xf>
    <xf numFmtId="0" fontId="3" fillId="12" borderId="7" xfId="0" applyFont="1" applyFill="1" applyBorder="1" applyAlignment="1" applyProtection="1">
      <alignment vertical="center"/>
      <protection locked="0"/>
    </xf>
    <xf numFmtId="0" fontId="15" fillId="12" borderId="7" xfId="0" applyFont="1" applyFill="1" applyBorder="1" applyAlignment="1">
      <alignment vertical="center"/>
    </xf>
    <xf numFmtId="0" fontId="3" fillId="12" borderId="7" xfId="0" applyFont="1" applyFill="1" applyBorder="1" applyAlignment="1">
      <alignment vertical="center"/>
    </xf>
    <xf numFmtId="0" fontId="3" fillId="12" borderId="6" xfId="0" applyFont="1" applyFill="1" applyBorder="1" applyAlignment="1">
      <alignment vertical="center"/>
    </xf>
    <xf numFmtId="0" fontId="1" fillId="0" borderId="0" xfId="0" applyFont="1" applyAlignment="1">
      <alignment horizontal="center"/>
    </xf>
    <xf numFmtId="0" fontId="3" fillId="12" borderId="15" xfId="0" applyFont="1" applyFill="1" applyBorder="1" applyAlignment="1" applyProtection="1">
      <alignment horizontal="left" vertical="center"/>
      <protection locked="0"/>
    </xf>
    <xf numFmtId="0" fontId="1" fillId="0" borderId="0" xfId="0" applyFont="1" applyAlignment="1" applyProtection="1">
      <alignment horizontal="right"/>
      <protection locked="0"/>
    </xf>
    <xf numFmtId="0" fontId="1" fillId="0" borderId="0" xfId="0" applyFont="1" applyBorder="1" applyAlignment="1">
      <alignment horizontal="center" vertical="center"/>
    </xf>
    <xf numFmtId="0" fontId="1" fillId="13" borderId="0" xfId="0" applyFont="1" applyFill="1" applyAlignment="1">
      <alignment vertical="center"/>
    </xf>
    <xf numFmtId="0" fontId="1" fillId="13" borderId="0" xfId="0" applyFont="1" applyFill="1" applyBorder="1"/>
    <xf numFmtId="0" fontId="1" fillId="13" borderId="0" xfId="0" applyFont="1" applyFill="1"/>
    <xf numFmtId="0" fontId="1" fillId="13" borderId="0" xfId="0" applyFont="1" applyFill="1" applyBorder="1" applyAlignment="1">
      <alignment vertical="center"/>
    </xf>
    <xf numFmtId="49" fontId="15" fillId="12" borderId="1" xfId="0" quotePrefix="1" applyNumberFormat="1" applyFont="1" applyFill="1" applyBorder="1" applyAlignment="1" applyProtection="1">
      <alignment horizontal="center" vertical="center"/>
      <protection locked="0"/>
    </xf>
    <xf numFmtId="49" fontId="15" fillId="12" borderId="5" xfId="0" applyNumberFormat="1" applyFont="1" applyFill="1" applyBorder="1" applyAlignment="1" applyProtection="1">
      <alignment horizontal="left" vertical="center" indent="1"/>
      <protection locked="0"/>
    </xf>
    <xf numFmtId="49" fontId="15" fillId="12" borderId="7" xfId="0" applyNumberFormat="1" applyFont="1" applyFill="1" applyBorder="1" applyAlignment="1" applyProtection="1">
      <alignment horizontal="left" vertical="center" indent="1"/>
      <protection locked="0"/>
    </xf>
    <xf numFmtId="49" fontId="15" fillId="12" borderId="6" xfId="0" applyNumberFormat="1" applyFont="1" applyFill="1" applyBorder="1" applyAlignment="1" applyProtection="1">
      <alignment horizontal="left" vertical="center" indent="1"/>
      <protection locked="0"/>
    </xf>
    <xf numFmtId="0" fontId="15" fillId="12" borderId="5" xfId="0" applyFont="1" applyFill="1" applyBorder="1" applyAlignment="1" applyProtection="1">
      <alignment horizontal="left" vertical="center" indent="1"/>
      <protection locked="0"/>
    </xf>
    <xf numFmtId="0" fontId="15" fillId="12" borderId="7" xfId="0" applyFont="1" applyFill="1" applyBorder="1" applyAlignment="1" applyProtection="1">
      <alignment horizontal="left" vertical="center" indent="1"/>
      <protection locked="0"/>
    </xf>
    <xf numFmtId="0" fontId="15" fillId="12" borderId="6" xfId="0" applyFont="1" applyFill="1" applyBorder="1" applyAlignment="1" applyProtection="1">
      <alignment horizontal="left" vertical="center" indent="1"/>
      <protection locked="0"/>
    </xf>
    <xf numFmtId="0" fontId="4" fillId="0" borderId="15" xfId="0" applyFont="1" applyBorder="1" applyAlignment="1">
      <alignment horizontal="left" vertical="center"/>
    </xf>
    <xf numFmtId="0" fontId="0" fillId="0" borderId="15" xfId="0" applyBorder="1" applyAlignment="1">
      <alignment horizontal="left"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1" fillId="0" borderId="8" xfId="0" applyFont="1" applyBorder="1" applyAlignment="1">
      <alignment horizontal="center" vertical="center"/>
    </xf>
    <xf numFmtId="0" fontId="1" fillId="0" borderId="12"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5" xfId="0" applyFont="1" applyBorder="1" applyAlignment="1">
      <alignment horizontal="center" vertical="center"/>
    </xf>
    <xf numFmtId="0" fontId="1" fillId="0" borderId="11" xfId="0" applyFont="1" applyBorder="1" applyAlignment="1">
      <alignment horizontal="center" vertical="center"/>
    </xf>
    <xf numFmtId="0" fontId="16" fillId="12" borderId="7" xfId="0" applyFont="1" applyFill="1" applyBorder="1" applyAlignment="1" applyProtection="1">
      <alignment horizontal="left" vertical="center" indent="1"/>
      <protection locked="0"/>
    </xf>
    <xf numFmtId="0" fontId="16" fillId="12" borderId="6" xfId="0" applyFont="1" applyFill="1" applyBorder="1" applyAlignment="1" applyProtection="1">
      <alignment horizontal="left" vertical="center" indent="1"/>
      <protection locked="0"/>
    </xf>
    <xf numFmtId="0" fontId="3" fillId="0" borderId="19" xfId="0" applyFont="1" applyBorder="1" applyAlignment="1">
      <alignment horizontal="center" vertical="center"/>
    </xf>
    <xf numFmtId="49" fontId="15" fillId="12" borderId="5" xfId="0" applyNumberFormat="1" applyFont="1" applyFill="1" applyBorder="1" applyAlignment="1" applyProtection="1">
      <alignment horizontal="center" vertical="center"/>
      <protection locked="0"/>
    </xf>
    <xf numFmtId="49" fontId="15" fillId="12" borderId="6" xfId="0" applyNumberFormat="1" applyFont="1" applyFill="1" applyBorder="1" applyAlignment="1" applyProtection="1">
      <alignment horizontal="center" vertical="center"/>
      <protection locked="0"/>
    </xf>
    <xf numFmtId="0" fontId="3" fillId="0" borderId="16" xfId="0" applyFont="1" applyFill="1" applyBorder="1" applyAlignment="1">
      <alignment horizontal="center" vertical="center"/>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5" fillId="12" borderId="7" xfId="0" applyFont="1" applyFill="1" applyBorder="1" applyAlignment="1" applyProtection="1">
      <alignment horizontal="left" vertical="center"/>
      <protection locked="0"/>
    </xf>
    <xf numFmtId="0" fontId="15" fillId="12" borderId="15" xfId="0" applyFont="1" applyFill="1" applyBorder="1" applyAlignment="1" applyProtection="1">
      <alignment horizontal="left" vertical="center" indent="1"/>
      <protection locked="0"/>
    </xf>
    <xf numFmtId="0" fontId="3" fillId="12" borderId="7" xfId="0" applyFont="1" applyFill="1" applyBorder="1" applyAlignment="1" applyProtection="1">
      <alignment horizontal="left" vertical="center"/>
      <protection locked="0"/>
    </xf>
    <xf numFmtId="0" fontId="0" fillId="12" borderId="7" xfId="0" applyFill="1" applyBorder="1" applyAlignment="1">
      <alignment horizontal="left" vertical="center"/>
    </xf>
    <xf numFmtId="0" fontId="8" fillId="12" borderId="7" xfId="0" applyFont="1" applyFill="1" applyBorder="1" applyAlignment="1" applyProtection="1">
      <alignment horizontal="center" vertical="center"/>
      <protection locked="0"/>
    </xf>
    <xf numFmtId="0" fontId="8" fillId="0" borderId="7" xfId="0" applyFont="1" applyFill="1" applyBorder="1" applyAlignment="1">
      <alignment horizontal="center" vertical="center"/>
    </xf>
    <xf numFmtId="0" fontId="22" fillId="12" borderId="7" xfId="0" applyFont="1" applyFill="1" applyBorder="1" applyAlignment="1" applyProtection="1">
      <alignment horizontal="left" vertical="center"/>
      <protection locked="0"/>
    </xf>
    <xf numFmtId="0" fontId="3" fillId="0" borderId="5"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6" xfId="0" applyFont="1" applyFill="1" applyBorder="1" applyAlignment="1">
      <alignment horizontal="center" vertical="center"/>
    </xf>
    <xf numFmtId="0" fontId="1" fillId="0" borderId="7" xfId="0" applyFont="1" applyBorder="1" applyAlignment="1">
      <alignment horizontal="left" vertical="center"/>
    </xf>
    <xf numFmtId="0" fontId="0" fillId="0" borderId="7" xfId="0" applyBorder="1" applyAlignment="1">
      <alignment horizontal="left" vertical="center"/>
    </xf>
    <xf numFmtId="0" fontId="16" fillId="12" borderId="7" xfId="0" applyFont="1" applyFill="1" applyBorder="1" applyAlignment="1" applyProtection="1">
      <alignment horizontal="left" vertical="center"/>
      <protection locked="0"/>
    </xf>
    <xf numFmtId="0" fontId="2" fillId="0" borderId="7" xfId="0" applyFont="1" applyFill="1" applyBorder="1" applyAlignment="1">
      <alignment horizontal="left" vertical="center"/>
    </xf>
    <xf numFmtId="49" fontId="15" fillId="12" borderId="5" xfId="0" quotePrefix="1" applyNumberFormat="1" applyFont="1" applyFill="1" applyBorder="1" applyAlignment="1" applyProtection="1">
      <alignment horizontal="center" vertical="center"/>
      <protection locked="0"/>
    </xf>
    <xf numFmtId="49" fontId="15" fillId="12" borderId="6" xfId="0" quotePrefix="1" applyNumberFormat="1" applyFont="1" applyFill="1" applyBorder="1" applyAlignment="1" applyProtection="1">
      <alignment horizontal="center" vertical="center"/>
      <protection locked="0"/>
    </xf>
    <xf numFmtId="0" fontId="2" fillId="0" borderId="7" xfId="0" applyFont="1" applyBorder="1" applyAlignment="1">
      <alignment horizontal="left" vertical="center"/>
    </xf>
    <xf numFmtId="0" fontId="1" fillId="0" borderId="17" xfId="0" applyFont="1" applyBorder="1" applyAlignment="1">
      <alignment horizontal="left" vertical="center"/>
    </xf>
    <xf numFmtId="0" fontId="0" fillId="0" borderId="17" xfId="0" applyBorder="1" applyAlignment="1">
      <alignment horizontal="left" vertical="center"/>
    </xf>
    <xf numFmtId="0" fontId="1" fillId="0" borderId="19" xfId="0" applyFont="1" applyBorder="1" applyAlignment="1">
      <alignment horizontal="left" vertical="center"/>
    </xf>
    <xf numFmtId="0" fontId="0" fillId="0" borderId="19" xfId="0" applyBorder="1" applyAlignment="1">
      <alignment horizontal="left" vertical="center"/>
    </xf>
    <xf numFmtId="0" fontId="1" fillId="0" borderId="15" xfId="0" applyFont="1" applyBorder="1" applyAlignment="1">
      <alignment horizontal="left" vertical="center"/>
    </xf>
    <xf numFmtId="0" fontId="15" fillId="12" borderId="15" xfId="0" applyFont="1" applyFill="1" applyBorder="1" applyAlignment="1" applyProtection="1">
      <alignment horizontal="left" vertical="center"/>
      <protection locked="0"/>
    </xf>
    <xf numFmtId="0" fontId="16" fillId="12" borderId="15" xfId="0" applyFont="1" applyFill="1" applyBorder="1" applyAlignment="1" applyProtection="1">
      <alignment horizontal="left" vertical="center"/>
      <protection locked="0"/>
    </xf>
    <xf numFmtId="0" fontId="3" fillId="0" borderId="15" xfId="0" applyFont="1" applyBorder="1" applyAlignment="1">
      <alignment horizontal="left" vertical="center"/>
    </xf>
    <xf numFmtId="0" fontId="3" fillId="0" borderId="7" xfId="0" applyFont="1" applyBorder="1" applyAlignment="1">
      <alignment horizontal="left" vertical="center"/>
    </xf>
    <xf numFmtId="0" fontId="4" fillId="0" borderId="0" xfId="0" applyFont="1" applyAlignment="1">
      <alignment horizontal="left" vertical="center"/>
    </xf>
    <xf numFmtId="49" fontId="3" fillId="12" borderId="5" xfId="0" quotePrefix="1" applyNumberFormat="1" applyFont="1" applyFill="1" applyBorder="1" applyAlignment="1" applyProtection="1">
      <alignment horizontal="center" vertical="center"/>
      <protection locked="0"/>
    </xf>
    <xf numFmtId="49" fontId="3" fillId="12" borderId="6" xfId="0" applyNumberFormat="1" applyFont="1" applyFill="1" applyBorder="1" applyAlignment="1" applyProtection="1">
      <alignment horizontal="center" vertical="center"/>
      <protection locked="0"/>
    </xf>
    <xf numFmtId="0" fontId="1" fillId="0" borderId="7" xfId="0" applyFont="1" applyBorder="1" applyAlignment="1">
      <alignment horizontal="center" vertical="center"/>
    </xf>
    <xf numFmtId="0" fontId="1" fillId="0" borderId="5" xfId="0" applyFont="1" applyBorder="1" applyAlignment="1">
      <alignment horizontal="center" vertical="center" wrapText="1"/>
    </xf>
    <xf numFmtId="0" fontId="1" fillId="0" borderId="7" xfId="0" applyFont="1" applyBorder="1" applyAlignment="1">
      <alignment horizontal="center" vertical="center" wrapText="1"/>
    </xf>
    <xf numFmtId="0" fontId="1" fillId="0" borderId="6" xfId="0" applyFont="1" applyBorder="1" applyAlignment="1">
      <alignment horizontal="center" vertical="center" wrapText="1"/>
    </xf>
    <xf numFmtId="0" fontId="0" fillId="0" borderId="0" xfId="0" applyAlignment="1">
      <alignment horizontal="left" vertical="center"/>
    </xf>
    <xf numFmtId="0" fontId="1" fillId="0" borderId="0" xfId="0" applyFont="1" applyAlignment="1">
      <alignment horizontal="left" vertical="center"/>
    </xf>
    <xf numFmtId="0" fontId="1" fillId="0" borderId="7" xfId="0" applyFont="1" applyFill="1" applyBorder="1" applyAlignment="1">
      <alignment horizontal="left" vertical="center"/>
    </xf>
    <xf numFmtId="0" fontId="0" fillId="0" borderId="6" xfId="0" applyBorder="1" applyAlignment="1">
      <alignment horizontal="left" vertical="center"/>
    </xf>
    <xf numFmtId="0" fontId="1" fillId="0" borderId="5" xfId="0" applyFont="1" applyFill="1"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0" fontId="1" fillId="0" borderId="5" xfId="0" applyFont="1" applyFill="1" applyBorder="1" applyAlignment="1">
      <alignment horizontal="left" vertical="center"/>
    </xf>
    <xf numFmtId="0" fontId="15" fillId="12" borderId="17" xfId="0" applyFont="1" applyFill="1" applyBorder="1" applyAlignment="1" applyProtection="1">
      <alignment horizontal="left" vertical="center"/>
      <protection locked="0"/>
    </xf>
    <xf numFmtId="0" fontId="1" fillId="0" borderId="3" xfId="0" applyFont="1" applyBorder="1" applyAlignment="1">
      <alignment horizontal="center" vertical="center" wrapText="1"/>
    </xf>
    <xf numFmtId="0" fontId="4" fillId="0" borderId="19" xfId="0" applyFont="1" applyBorder="1" applyAlignment="1">
      <alignment horizontal="center" vertical="center"/>
    </xf>
    <xf numFmtId="0" fontId="1" fillId="0" borderId="8"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5" xfId="0" applyFont="1" applyBorder="1" applyAlignment="1">
      <alignment horizontal="center" vertical="center" wrapText="1"/>
    </xf>
    <xf numFmtId="0" fontId="6" fillId="0" borderId="16" xfId="0" applyFont="1" applyBorder="1" applyAlignment="1">
      <alignment horizontal="center" vertical="center"/>
    </xf>
    <xf numFmtId="0" fontId="1" fillId="0" borderId="20" xfId="0" applyFont="1" applyBorder="1" applyAlignment="1">
      <alignment horizontal="left" vertical="center" indent="1"/>
    </xf>
    <xf numFmtId="0" fontId="1" fillId="0" borderId="18" xfId="0" applyFont="1" applyBorder="1" applyAlignment="1">
      <alignment horizontal="left" vertical="center" indent="1"/>
    </xf>
    <xf numFmtId="0" fontId="3" fillId="12" borderId="19" xfId="0" applyFont="1" applyFill="1" applyBorder="1" applyAlignment="1" applyProtection="1">
      <alignment horizontal="left" vertical="center" indent="1"/>
      <protection locked="0"/>
    </xf>
    <xf numFmtId="0" fontId="3" fillId="12" borderId="20" xfId="0" applyFont="1" applyFill="1" applyBorder="1" applyAlignment="1" applyProtection="1">
      <alignment horizontal="left" vertical="center" indent="1"/>
      <protection locked="0"/>
    </xf>
    <xf numFmtId="49" fontId="3" fillId="12" borderId="20" xfId="0" applyNumberFormat="1" applyFont="1" applyFill="1" applyBorder="1" applyAlignment="1" applyProtection="1">
      <alignment horizontal="left" vertical="center" indent="1"/>
      <protection locked="0"/>
    </xf>
    <xf numFmtId="49" fontId="3" fillId="12" borderId="26" xfId="0" applyNumberFormat="1" applyFont="1" applyFill="1" applyBorder="1" applyAlignment="1" applyProtection="1">
      <alignment horizontal="left" vertical="center" indent="1"/>
      <protection locked="0"/>
    </xf>
    <xf numFmtId="49" fontId="3" fillId="12" borderId="18" xfId="0" applyNumberFormat="1" applyFont="1" applyFill="1" applyBorder="1" applyAlignment="1" applyProtection="1">
      <alignment horizontal="left" vertical="center" indent="1"/>
      <protection locked="0"/>
    </xf>
    <xf numFmtId="0" fontId="1" fillId="0" borderId="29" xfId="0" applyFont="1" applyBorder="1" applyAlignment="1">
      <alignment horizontal="center" vertical="center"/>
    </xf>
    <xf numFmtId="0" fontId="1" fillId="0" borderId="26" xfId="0" applyFont="1" applyBorder="1" applyAlignment="1">
      <alignment horizontal="center" vertical="center"/>
    </xf>
    <xf numFmtId="0" fontId="1" fillId="0" borderId="30" xfId="0" applyFont="1" applyBorder="1" applyAlignment="1">
      <alignment horizontal="center" vertical="center"/>
    </xf>
    <xf numFmtId="0" fontId="1" fillId="0" borderId="31" xfId="0" applyFont="1" applyBorder="1" applyAlignment="1">
      <alignment horizontal="center" vertical="center"/>
    </xf>
    <xf numFmtId="0" fontId="1" fillId="0" borderId="27" xfId="0" applyFont="1" applyBorder="1" applyAlignment="1">
      <alignment horizontal="center" vertical="center"/>
    </xf>
    <xf numFmtId="0" fontId="1" fillId="0" borderId="32" xfId="0" applyFont="1" applyBorder="1" applyAlignment="1">
      <alignment horizontal="center" vertical="center"/>
    </xf>
    <xf numFmtId="0" fontId="1" fillId="0" borderId="33" xfId="0" applyFont="1" applyBorder="1" applyAlignment="1">
      <alignment horizontal="center" vertical="center"/>
    </xf>
    <xf numFmtId="0" fontId="1" fillId="0" borderId="28" xfId="0" applyFont="1" applyBorder="1" applyAlignment="1">
      <alignment horizontal="center" vertical="center"/>
    </xf>
    <xf numFmtId="0" fontId="1" fillId="0" borderId="34" xfId="0" applyFont="1" applyBorder="1" applyAlignment="1">
      <alignment horizontal="center" vertical="center"/>
    </xf>
    <xf numFmtId="0" fontId="3" fillId="12" borderId="24" xfId="0" applyFont="1" applyFill="1" applyBorder="1" applyAlignment="1" applyProtection="1">
      <alignment horizontal="left" vertical="center" indent="1"/>
      <protection locked="0"/>
    </xf>
    <xf numFmtId="0" fontId="3" fillId="12" borderId="28" xfId="0" applyFont="1" applyFill="1" applyBorder="1" applyAlignment="1" applyProtection="1">
      <alignment horizontal="left" vertical="center" indent="1"/>
      <protection locked="0"/>
    </xf>
    <xf numFmtId="0" fontId="3" fillId="12" borderId="23" xfId="0" applyFont="1" applyFill="1" applyBorder="1" applyAlignment="1" applyProtection="1">
      <alignment horizontal="left" vertical="center" indent="1"/>
      <protection locked="0"/>
    </xf>
    <xf numFmtId="165" fontId="3" fillId="12" borderId="22" xfId="0" quotePrefix="1" applyNumberFormat="1" applyFont="1" applyFill="1" applyBorder="1" applyAlignment="1" applyProtection="1">
      <alignment horizontal="left" vertical="center" indent="1"/>
      <protection locked="0"/>
    </xf>
    <xf numFmtId="165" fontId="3" fillId="12" borderId="27" xfId="0" applyNumberFormat="1" applyFont="1" applyFill="1" applyBorder="1" applyAlignment="1" applyProtection="1">
      <alignment horizontal="left" vertical="center" indent="1"/>
      <protection locked="0"/>
    </xf>
    <xf numFmtId="165" fontId="3" fillId="12" borderId="21" xfId="0" applyNumberFormat="1" applyFont="1" applyFill="1" applyBorder="1" applyAlignment="1" applyProtection="1">
      <alignment horizontal="left" vertical="center" indent="1"/>
      <protection locked="0"/>
    </xf>
    <xf numFmtId="0" fontId="3" fillId="12" borderId="15" xfId="0" applyFont="1" applyFill="1" applyBorder="1" applyAlignment="1" applyProtection="1">
      <alignment horizontal="left" vertical="center"/>
      <protection locked="0"/>
    </xf>
    <xf numFmtId="0" fontId="15" fillId="0" borderId="15" xfId="0" applyFont="1" applyFill="1" applyBorder="1" applyAlignment="1">
      <alignment horizontal="center" vertical="center"/>
    </xf>
    <xf numFmtId="0" fontId="1" fillId="12" borderId="7" xfId="0" applyFont="1" applyFill="1" applyBorder="1" applyAlignment="1" applyProtection="1">
      <alignment horizontal="center" vertical="center"/>
      <protection locked="0"/>
    </xf>
    <xf numFmtId="0" fontId="1" fillId="0" borderId="7" xfId="0" applyFont="1" applyFill="1" applyBorder="1" applyAlignment="1">
      <alignment horizontal="center" vertical="center"/>
    </xf>
    <xf numFmtId="0" fontId="8" fillId="0" borderId="7" xfId="0" applyFont="1" applyFill="1" applyBorder="1" applyAlignment="1">
      <alignment horizontal="left" vertical="center"/>
    </xf>
    <xf numFmtId="0" fontId="1" fillId="0" borderId="0" xfId="0" applyFont="1" applyAlignment="1">
      <alignment horizontal="center"/>
    </xf>
    <xf numFmtId="0" fontId="1" fillId="0" borderId="0" xfId="0" applyFont="1" applyAlignment="1">
      <alignment horizontal="center" vertical="center"/>
    </xf>
    <xf numFmtId="0" fontId="1" fillId="0" borderId="19" xfId="0" applyFont="1" applyBorder="1" applyAlignment="1">
      <alignment horizontal="center" vertical="center"/>
    </xf>
    <xf numFmtId="15" fontId="3" fillId="12" borderId="22" xfId="0" applyNumberFormat="1" applyFont="1" applyFill="1" applyBorder="1" applyAlignment="1" applyProtection="1">
      <alignment horizontal="left" vertical="center" indent="1"/>
      <protection locked="0"/>
    </xf>
    <xf numFmtId="15" fontId="3" fillId="12" borderId="27" xfId="0" applyNumberFormat="1" applyFont="1" applyFill="1" applyBorder="1" applyAlignment="1" applyProtection="1">
      <alignment horizontal="left" vertical="center" indent="1"/>
      <protection locked="0"/>
    </xf>
    <xf numFmtId="15" fontId="3" fillId="12" borderId="21" xfId="0" applyNumberFormat="1" applyFont="1" applyFill="1" applyBorder="1" applyAlignment="1" applyProtection="1">
      <alignment horizontal="left" vertical="center" indent="1"/>
      <protection locked="0"/>
    </xf>
    <xf numFmtId="0" fontId="5" fillId="0" borderId="0" xfId="0" applyFont="1" applyFill="1" applyAlignment="1">
      <alignment horizontal="right" vertical="center"/>
    </xf>
    <xf numFmtId="0" fontId="1" fillId="0" borderId="22" xfId="0" applyFont="1" applyBorder="1" applyAlignment="1">
      <alignment horizontal="left" vertical="center" indent="1"/>
    </xf>
    <xf numFmtId="0" fontId="1" fillId="0" borderId="21" xfId="0" applyFont="1" applyBorder="1" applyAlignment="1">
      <alignment horizontal="left" vertical="center" indent="1"/>
    </xf>
    <xf numFmtId="165" fontId="3" fillId="12" borderId="0" xfId="0" applyNumberFormat="1" applyFont="1" applyFill="1" applyBorder="1" applyAlignment="1" applyProtection="1">
      <alignment horizontal="left" vertical="center" indent="1"/>
      <protection locked="0"/>
    </xf>
    <xf numFmtId="165" fontId="3" fillId="12" borderId="22" xfId="0" applyNumberFormat="1" applyFont="1" applyFill="1" applyBorder="1" applyAlignment="1" applyProtection="1">
      <alignment horizontal="left" vertical="center" indent="1"/>
      <protection locked="0"/>
    </xf>
    <xf numFmtId="15" fontId="3" fillId="12" borderId="0" xfId="0" applyNumberFormat="1" applyFont="1" applyFill="1" applyBorder="1" applyAlignment="1" applyProtection="1">
      <alignment horizontal="left" vertical="center" indent="1"/>
      <protection locked="0"/>
    </xf>
    <xf numFmtId="0" fontId="1" fillId="0" borderId="24" xfId="0" applyFont="1" applyBorder="1" applyAlignment="1">
      <alignment horizontal="left" vertical="center" indent="1"/>
    </xf>
    <xf numFmtId="0" fontId="1" fillId="0" borderId="23" xfId="0" applyFont="1" applyBorder="1" applyAlignment="1">
      <alignment horizontal="left" vertical="center" indent="1"/>
    </xf>
    <xf numFmtId="0" fontId="17" fillId="12" borderId="16" xfId="0" applyFont="1" applyFill="1" applyBorder="1" applyAlignment="1" applyProtection="1">
      <alignment horizontal="left" vertical="center"/>
      <protection locked="0"/>
    </xf>
    <xf numFmtId="0" fontId="17" fillId="12" borderId="16" xfId="0" applyFont="1" applyFill="1" applyBorder="1" applyAlignment="1" applyProtection="1">
      <alignment horizontal="center" vertical="center"/>
      <protection locked="0"/>
    </xf>
    <xf numFmtId="0" fontId="7" fillId="0" borderId="16" xfId="0" applyFont="1" applyFill="1" applyBorder="1" applyAlignment="1">
      <alignment horizontal="right" vertical="center" indent="1"/>
    </xf>
    <xf numFmtId="0" fontId="15" fillId="12" borderId="1" xfId="0" applyFont="1" applyFill="1" applyBorder="1" applyAlignment="1" applyProtection="1">
      <alignment horizontal="center" vertical="center"/>
      <protection locked="0"/>
    </xf>
    <xf numFmtId="0" fontId="1" fillId="0" borderId="9" xfId="0" applyFont="1" applyBorder="1" applyAlignment="1">
      <alignment horizontal="center" vertical="center" wrapText="1"/>
    </xf>
    <xf numFmtId="0" fontId="1" fillId="0" borderId="11" xfId="0" applyFont="1" applyBorder="1" applyAlignment="1">
      <alignment horizontal="center" vertical="center" wrapText="1"/>
    </xf>
    <xf numFmtId="0" fontId="15" fillId="12" borderId="5" xfId="0" applyFont="1" applyFill="1" applyBorder="1" applyAlignment="1" applyProtection="1">
      <alignment horizontal="left" vertical="center"/>
      <protection locked="0"/>
    </xf>
    <xf numFmtId="0" fontId="15" fillId="12" borderId="6" xfId="0" applyFont="1" applyFill="1" applyBorder="1" applyAlignment="1" applyProtection="1">
      <alignment horizontal="left" vertical="center"/>
      <protection locked="0"/>
    </xf>
    <xf numFmtId="0" fontId="16" fillId="12" borderId="6" xfId="0" applyFont="1" applyFill="1" applyBorder="1" applyAlignment="1" applyProtection="1">
      <alignment horizontal="left" vertical="center"/>
      <protection locked="0"/>
    </xf>
    <xf numFmtId="0" fontId="4" fillId="0" borderId="0" xfId="0" applyFont="1" applyBorder="1" applyAlignment="1">
      <alignment horizontal="left" vertical="center"/>
    </xf>
    <xf numFmtId="0" fontId="11" fillId="12" borderId="16" xfId="0" applyFont="1" applyFill="1" applyBorder="1" applyAlignment="1" applyProtection="1">
      <alignment vertical="center"/>
      <protection locked="0"/>
    </xf>
    <xf numFmtId="0" fontId="11" fillId="12" borderId="24" xfId="0" applyFont="1" applyFill="1" applyBorder="1" applyAlignment="1" applyProtection="1">
      <alignment vertical="center"/>
      <protection locked="0"/>
    </xf>
    <xf numFmtId="0" fontId="1" fillId="0" borderId="13" xfId="0" applyFont="1" applyBorder="1" applyAlignment="1">
      <alignment horizontal="center" vertical="center" wrapText="1"/>
    </xf>
    <xf numFmtId="0" fontId="1" fillId="0" borderId="0"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5" xfId="0" applyFont="1" applyFill="1" applyBorder="1" applyAlignment="1">
      <alignment horizontal="left" vertical="center"/>
    </xf>
    <xf numFmtId="0" fontId="3" fillId="0" borderId="7" xfId="0" applyFont="1" applyFill="1" applyBorder="1" applyAlignment="1">
      <alignment horizontal="left" vertical="center"/>
    </xf>
    <xf numFmtId="0" fontId="3" fillId="0" borderId="6" xfId="0" applyFont="1" applyFill="1" applyBorder="1" applyAlignment="1">
      <alignment horizontal="left" vertical="center"/>
    </xf>
    <xf numFmtId="0" fontId="3" fillId="12" borderId="17" xfId="0" applyFont="1" applyFill="1" applyBorder="1" applyAlignment="1" applyProtection="1">
      <alignment horizontal="left" vertical="center"/>
      <protection locked="0"/>
    </xf>
    <xf numFmtId="0" fontId="0" fillId="12" borderId="17" xfId="0" applyFill="1" applyBorder="1" applyAlignment="1">
      <alignment horizontal="left" vertical="center"/>
    </xf>
    <xf numFmtId="0" fontId="22" fillId="3" borderId="7" xfId="0" applyFont="1" applyFill="1" applyBorder="1" applyAlignment="1" applyProtection="1">
      <alignment horizontal="center" vertical="center"/>
      <protection locked="0"/>
    </xf>
    <xf numFmtId="0" fontId="15" fillId="12" borderId="16" xfId="0" applyFont="1" applyFill="1" applyBorder="1" applyAlignment="1" applyProtection="1">
      <alignment horizontal="left" vertical="center"/>
      <protection locked="0"/>
    </xf>
    <xf numFmtId="0" fontId="0" fillId="12" borderId="15" xfId="0" applyFill="1" applyBorder="1" applyAlignment="1">
      <alignment horizontal="left" vertical="center"/>
    </xf>
    <xf numFmtId="0" fontId="1" fillId="0" borderId="16" xfId="0" applyFont="1" applyBorder="1" applyAlignment="1">
      <alignment horizontal="left" vertical="center"/>
    </xf>
    <xf numFmtId="0" fontId="0" fillId="0" borderId="16" xfId="0" applyBorder="1" applyAlignment="1">
      <alignment horizontal="left" vertical="center"/>
    </xf>
    <xf numFmtId="0" fontId="1" fillId="0" borderId="15" xfId="0" applyFont="1" applyBorder="1" applyAlignment="1">
      <alignment horizontal="right" vertical="center" indent="1"/>
    </xf>
    <xf numFmtId="0" fontId="1" fillId="0" borderId="7" xfId="0" applyFont="1" applyBorder="1" applyAlignment="1">
      <alignment horizontal="right" vertical="center" indent="1"/>
    </xf>
    <xf numFmtId="0" fontId="3" fillId="3" borderId="7" xfId="0" applyFont="1" applyFill="1" applyBorder="1" applyAlignment="1" applyProtection="1">
      <alignment horizontal="center" vertical="center"/>
    </xf>
    <xf numFmtId="0" fontId="0" fillId="12" borderId="7" xfId="0" applyFill="1" applyBorder="1" applyAlignment="1" applyProtection="1">
      <alignment horizontal="left" vertical="center"/>
      <protection locked="0"/>
    </xf>
    <xf numFmtId="0" fontId="3" fillId="0" borderId="16" xfId="0" applyFont="1" applyBorder="1" applyAlignment="1">
      <alignment horizontal="center" vertical="center"/>
    </xf>
    <xf numFmtId="0" fontId="5" fillId="0" borderId="12" xfId="0" applyFont="1" applyBorder="1" applyAlignment="1">
      <alignment horizontal="left" vertical="center"/>
    </xf>
    <xf numFmtId="0" fontId="12" fillId="12" borderId="8" xfId="0" applyFont="1" applyFill="1" applyBorder="1" applyAlignment="1" applyProtection="1">
      <alignment horizontal="left" vertical="top"/>
      <protection locked="0"/>
    </xf>
    <xf numFmtId="0" fontId="12" fillId="12" borderId="12" xfId="0" applyFont="1" applyFill="1" applyBorder="1" applyAlignment="1" applyProtection="1">
      <alignment horizontal="left" vertical="top"/>
      <protection locked="0"/>
    </xf>
    <xf numFmtId="0" fontId="12" fillId="12" borderId="9" xfId="0" applyFont="1" applyFill="1" applyBorder="1" applyAlignment="1" applyProtection="1">
      <alignment horizontal="left" vertical="top"/>
      <protection locked="0"/>
    </xf>
    <xf numFmtId="0" fontId="12" fillId="12" borderId="13" xfId="0" applyFont="1" applyFill="1" applyBorder="1" applyAlignment="1" applyProtection="1">
      <alignment horizontal="left" vertical="top"/>
      <protection locked="0"/>
    </xf>
    <xf numFmtId="0" fontId="12" fillId="12" borderId="0" xfId="0" applyFont="1" applyFill="1" applyBorder="1" applyAlignment="1" applyProtection="1">
      <alignment horizontal="left" vertical="top"/>
      <protection locked="0"/>
    </xf>
    <xf numFmtId="0" fontId="12" fillId="12" borderId="14" xfId="0" applyFont="1" applyFill="1" applyBorder="1" applyAlignment="1" applyProtection="1">
      <alignment horizontal="left" vertical="top"/>
      <protection locked="0"/>
    </xf>
    <xf numFmtId="0" fontId="12" fillId="12" borderId="10" xfId="0" applyFont="1" applyFill="1" applyBorder="1" applyAlignment="1" applyProtection="1">
      <alignment horizontal="left" vertical="top"/>
      <protection locked="0"/>
    </xf>
    <xf numFmtId="0" fontId="12" fillId="12" borderId="15" xfId="0" applyFont="1" applyFill="1" applyBorder="1" applyAlignment="1" applyProtection="1">
      <alignment horizontal="left" vertical="top"/>
      <protection locked="0"/>
    </xf>
    <xf numFmtId="0" fontId="12" fillId="12" borderId="11" xfId="0" applyFont="1" applyFill="1" applyBorder="1" applyAlignment="1" applyProtection="1">
      <alignment horizontal="left" vertical="top"/>
      <protection locked="0"/>
    </xf>
    <xf numFmtId="0" fontId="2" fillId="0" borderId="14" xfId="0" applyFont="1" applyBorder="1" applyAlignment="1">
      <alignment horizontal="center" vertical="center"/>
    </xf>
    <xf numFmtId="0" fontId="1" fillId="0" borderId="16" xfId="0" applyFont="1" applyBorder="1" applyAlignment="1">
      <alignment horizontal="center" vertical="center"/>
    </xf>
    <xf numFmtId="49" fontId="3" fillId="12" borderId="5" xfId="0" applyNumberFormat="1" applyFont="1" applyFill="1" applyBorder="1" applyAlignment="1" applyProtection="1">
      <alignment horizontal="left" vertical="center" indent="1"/>
      <protection locked="0"/>
    </xf>
    <xf numFmtId="49" fontId="3" fillId="12" borderId="6" xfId="0" applyNumberFormat="1" applyFont="1" applyFill="1" applyBorder="1" applyAlignment="1" applyProtection="1">
      <alignment horizontal="left" vertical="center" indent="1"/>
      <protection locked="0"/>
    </xf>
    <xf numFmtId="49" fontId="3" fillId="12" borderId="7" xfId="0" applyNumberFormat="1" applyFont="1" applyFill="1" applyBorder="1" applyAlignment="1" applyProtection="1">
      <alignment horizontal="left" vertical="center" indent="1"/>
      <protection locked="0"/>
    </xf>
    <xf numFmtId="49" fontId="1" fillId="0" borderId="8" xfId="0" applyNumberFormat="1" applyFont="1" applyFill="1" applyBorder="1" applyAlignment="1">
      <alignment horizontal="center" vertical="center"/>
    </xf>
    <xf numFmtId="49" fontId="1" fillId="0" borderId="9" xfId="0" applyNumberFormat="1" applyFont="1" applyFill="1" applyBorder="1" applyAlignment="1">
      <alignment horizontal="center" vertical="center"/>
    </xf>
    <xf numFmtId="49" fontId="1" fillId="0" borderId="10" xfId="0" applyNumberFormat="1" applyFont="1" applyFill="1" applyBorder="1" applyAlignment="1">
      <alignment horizontal="center" vertical="center"/>
    </xf>
    <xf numFmtId="49" fontId="1" fillId="0" borderId="11" xfId="0" applyNumberFormat="1" applyFont="1" applyFill="1" applyBorder="1" applyAlignment="1">
      <alignment horizontal="center" vertical="center"/>
    </xf>
    <xf numFmtId="0" fontId="4" fillId="0" borderId="19" xfId="0" applyFont="1" applyBorder="1" applyAlignment="1">
      <alignment horizontal="left" vertical="center"/>
    </xf>
    <xf numFmtId="49" fontId="1" fillId="12" borderId="8" xfId="0" applyNumberFormat="1" applyFont="1" applyFill="1" applyBorder="1" applyAlignment="1" applyProtection="1">
      <alignment horizontal="center" vertical="center"/>
      <protection locked="0"/>
    </xf>
    <xf numFmtId="49" fontId="1" fillId="12" borderId="9" xfId="0" applyNumberFormat="1" applyFont="1" applyFill="1" applyBorder="1" applyAlignment="1" applyProtection="1">
      <alignment horizontal="center" vertical="center"/>
      <protection locked="0"/>
    </xf>
    <xf numFmtId="49" fontId="1" fillId="12" borderId="10" xfId="0" applyNumberFormat="1" applyFont="1" applyFill="1" applyBorder="1" applyAlignment="1" applyProtection="1">
      <alignment horizontal="center" vertical="center"/>
      <protection locked="0"/>
    </xf>
    <xf numFmtId="49" fontId="1" fillId="12" borderId="11" xfId="0" applyNumberFormat="1" applyFont="1" applyFill="1" applyBorder="1" applyAlignment="1" applyProtection="1">
      <alignment horizontal="center" vertical="center"/>
      <protection locked="0"/>
    </xf>
    <xf numFmtId="49" fontId="1" fillId="12" borderId="2" xfId="0" applyNumberFormat="1" applyFont="1" applyFill="1" applyBorder="1" applyAlignment="1" applyProtection="1">
      <alignment horizontal="center" vertical="center"/>
      <protection locked="0"/>
    </xf>
    <xf numFmtId="49" fontId="1" fillId="12" borderId="4" xfId="0" applyNumberFormat="1" applyFont="1" applyFill="1" applyBorder="1" applyAlignment="1" applyProtection="1">
      <alignment horizontal="center" vertical="center"/>
      <protection locked="0"/>
    </xf>
    <xf numFmtId="49" fontId="1" fillId="12" borderId="12" xfId="0" applyNumberFormat="1" applyFont="1" applyFill="1" applyBorder="1" applyAlignment="1" applyProtection="1">
      <alignment horizontal="center" vertical="center"/>
      <protection locked="0"/>
    </xf>
    <xf numFmtId="49" fontId="1" fillId="12" borderId="15" xfId="0" applyNumberFormat="1" applyFont="1" applyFill="1" applyBorder="1" applyAlignment="1" applyProtection="1">
      <alignment horizontal="center" vertical="center"/>
      <protection locked="0"/>
    </xf>
    <xf numFmtId="164" fontId="3" fillId="12" borderId="5" xfId="0" applyNumberFormat="1" applyFont="1" applyFill="1" applyBorder="1" applyAlignment="1" applyProtection="1">
      <alignment horizontal="center" vertical="center"/>
      <protection locked="0"/>
    </xf>
    <xf numFmtId="164" fontId="3" fillId="12" borderId="7" xfId="0" applyNumberFormat="1" applyFont="1" applyFill="1" applyBorder="1" applyAlignment="1" applyProtection="1">
      <alignment horizontal="center" vertical="center"/>
      <protection locked="0"/>
    </xf>
    <xf numFmtId="164" fontId="3" fillId="12" borderId="6" xfId="0" applyNumberFormat="1" applyFont="1" applyFill="1" applyBorder="1" applyAlignment="1" applyProtection="1">
      <alignment horizontal="center" vertical="center"/>
      <protection locked="0"/>
    </xf>
    <xf numFmtId="0" fontId="2" fillId="0" borderId="15" xfId="0" applyFont="1" applyBorder="1" applyAlignment="1">
      <alignment horizontal="left" vertical="center"/>
    </xf>
    <xf numFmtId="0" fontId="8" fillId="0" borderId="15" xfId="0" applyFont="1" applyBorder="1" applyAlignment="1">
      <alignment horizontal="center" vertical="center"/>
    </xf>
    <xf numFmtId="0" fontId="12" fillId="10" borderId="8" xfId="0" applyFont="1" applyFill="1" applyBorder="1" applyAlignment="1" applyProtection="1">
      <alignment horizontal="left" vertical="top"/>
      <protection locked="0"/>
    </xf>
    <xf numFmtId="0" fontId="12" fillId="10" borderId="12" xfId="0" applyFont="1" applyFill="1" applyBorder="1" applyAlignment="1" applyProtection="1">
      <alignment horizontal="left" vertical="top"/>
      <protection locked="0"/>
    </xf>
    <xf numFmtId="0" fontId="12" fillId="10" borderId="9" xfId="0" applyFont="1" applyFill="1" applyBorder="1" applyAlignment="1" applyProtection="1">
      <alignment horizontal="left" vertical="top"/>
      <protection locked="0"/>
    </xf>
    <xf numFmtId="0" fontId="12" fillId="10" borderId="13" xfId="0" applyFont="1" applyFill="1" applyBorder="1" applyAlignment="1" applyProtection="1">
      <alignment horizontal="left" vertical="top"/>
      <protection locked="0"/>
    </xf>
    <xf numFmtId="0" fontId="12" fillId="10" borderId="0" xfId="0" applyFont="1" applyFill="1" applyBorder="1" applyAlignment="1" applyProtection="1">
      <alignment horizontal="left" vertical="top"/>
      <protection locked="0"/>
    </xf>
    <xf numFmtId="0" fontId="12" fillId="10" borderId="14" xfId="0" applyFont="1" applyFill="1" applyBorder="1" applyAlignment="1" applyProtection="1">
      <alignment horizontal="left" vertical="top"/>
      <protection locked="0"/>
    </xf>
    <xf numFmtId="0" fontId="12" fillId="10" borderId="10" xfId="0" applyFont="1" applyFill="1" applyBorder="1" applyAlignment="1" applyProtection="1">
      <alignment horizontal="left" vertical="top"/>
      <protection locked="0"/>
    </xf>
    <xf numFmtId="0" fontId="12" fillId="10" borderId="15" xfId="0" applyFont="1" applyFill="1" applyBorder="1" applyAlignment="1" applyProtection="1">
      <alignment horizontal="left" vertical="top"/>
      <protection locked="0"/>
    </xf>
    <xf numFmtId="0" fontId="12" fillId="10" borderId="11" xfId="0" applyFont="1" applyFill="1" applyBorder="1" applyAlignment="1" applyProtection="1">
      <alignment horizontal="left" vertical="top"/>
      <protection locked="0"/>
    </xf>
    <xf numFmtId="0" fontId="3" fillId="12" borderId="5" xfId="0" applyFont="1" applyFill="1" applyBorder="1" applyAlignment="1" applyProtection="1">
      <alignment horizontal="center" vertical="center"/>
      <protection locked="0"/>
    </xf>
    <xf numFmtId="0" fontId="3" fillId="12" borderId="6" xfId="0" applyFont="1" applyFill="1" applyBorder="1" applyAlignment="1" applyProtection="1">
      <alignment horizontal="center" vertical="center"/>
      <protection locked="0"/>
    </xf>
    <xf numFmtId="0" fontId="3" fillId="12" borderId="5" xfId="0" applyFont="1" applyFill="1" applyBorder="1" applyAlignment="1" applyProtection="1">
      <alignment horizontal="center" vertical="center" wrapText="1"/>
      <protection locked="0"/>
    </xf>
    <xf numFmtId="0" fontId="3" fillId="12" borderId="6" xfId="0" applyFont="1" applyFill="1" applyBorder="1" applyAlignment="1" applyProtection="1">
      <alignment horizontal="center" vertical="center" wrapText="1"/>
      <protection locked="0"/>
    </xf>
    <xf numFmtId="0" fontId="1" fillId="0" borderId="12" xfId="0" applyFont="1" applyBorder="1" applyAlignment="1">
      <alignment horizontal="center"/>
    </xf>
    <xf numFmtId="0" fontId="1" fillId="0" borderId="19" xfId="0" applyFont="1" applyBorder="1" applyAlignment="1">
      <alignment horizontal="center"/>
    </xf>
    <xf numFmtId="0" fontId="1" fillId="12" borderId="5" xfId="0" applyFont="1" applyFill="1" applyBorder="1" applyAlignment="1" applyProtection="1">
      <alignment horizontal="center" vertical="center" wrapText="1"/>
      <protection locked="0"/>
    </xf>
    <xf numFmtId="0" fontId="1" fillId="12" borderId="6" xfId="0" applyFont="1" applyFill="1" applyBorder="1" applyAlignment="1" applyProtection="1">
      <alignment horizontal="center" vertical="center" wrapText="1"/>
      <protection locked="0"/>
    </xf>
    <xf numFmtId="0" fontId="8" fillId="0" borderId="15" xfId="0" applyFont="1" applyFill="1" applyBorder="1" applyAlignment="1">
      <alignment horizontal="center" vertical="center"/>
    </xf>
    <xf numFmtId="0" fontId="15" fillId="0" borderId="15" xfId="0" applyFont="1" applyFill="1" applyBorder="1" applyAlignment="1" applyProtection="1">
      <alignment horizontal="left" vertical="center" indent="1"/>
      <protection locked="0"/>
    </xf>
    <xf numFmtId="0" fontId="1" fillId="0" borderId="12" xfId="0" applyFont="1" applyFill="1" applyBorder="1" applyAlignment="1">
      <alignment horizontal="left" vertical="center" wrapText="1"/>
    </xf>
    <xf numFmtId="0" fontId="1" fillId="0" borderId="16" xfId="0" applyFont="1" applyFill="1" applyBorder="1" applyAlignment="1">
      <alignment horizontal="left" vertical="center" wrapText="1"/>
    </xf>
    <xf numFmtId="0" fontId="1" fillId="0" borderId="36" xfId="0" applyFont="1" applyBorder="1" applyAlignment="1">
      <alignment horizontal="center" vertical="center"/>
    </xf>
    <xf numFmtId="0" fontId="12" fillId="12" borderId="8" xfId="0" applyFont="1" applyFill="1" applyBorder="1" applyAlignment="1" applyProtection="1">
      <alignment horizontal="left" vertical="top" wrapText="1"/>
      <protection locked="0"/>
    </xf>
    <xf numFmtId="0" fontId="1" fillId="0" borderId="14" xfId="0" applyFont="1" applyBorder="1" applyAlignment="1">
      <alignment horizontal="center" vertical="center"/>
    </xf>
    <xf numFmtId="0" fontId="11" fillId="12" borderId="7" xfId="0" applyFont="1" applyFill="1" applyBorder="1" applyAlignment="1" applyProtection="1">
      <alignment horizontal="left" vertical="center"/>
      <protection locked="0"/>
    </xf>
    <xf numFmtId="0" fontId="1" fillId="0" borderId="7" xfId="0" applyFont="1" applyBorder="1" applyAlignment="1">
      <alignment horizontal="left" vertical="center" indent="1"/>
    </xf>
    <xf numFmtId="0" fontId="8" fillId="0" borderId="7" xfId="0" applyFont="1" applyFill="1" applyBorder="1" applyAlignment="1">
      <alignment horizontal="left" vertical="center" indent="1"/>
    </xf>
    <xf numFmtId="0" fontId="4" fillId="0" borderId="7" xfId="0" applyFont="1" applyBorder="1" applyAlignment="1">
      <alignment horizontal="left" vertical="center"/>
    </xf>
    <xf numFmtId="0" fontId="25" fillId="12" borderId="7" xfId="0" applyFont="1" applyFill="1" applyBorder="1" applyAlignment="1" applyProtection="1">
      <alignment horizontal="left" vertical="center"/>
      <protection locked="0"/>
    </xf>
    <xf numFmtId="0" fontId="1" fillId="3" borderId="7" xfId="0" applyFont="1" applyFill="1" applyBorder="1" applyAlignment="1">
      <alignment horizontal="center" vertical="center"/>
    </xf>
    <xf numFmtId="0" fontId="3" fillId="0" borderId="7" xfId="0" applyFont="1" applyBorder="1" applyAlignment="1">
      <alignment horizontal="center" vertical="center"/>
    </xf>
    <xf numFmtId="0" fontId="7" fillId="0" borderId="15" xfId="0" applyFont="1" applyBorder="1" applyAlignment="1">
      <alignment horizontal="center" vertical="center"/>
    </xf>
    <xf numFmtId="0" fontId="1" fillId="0" borderId="0" xfId="0" applyFont="1" applyBorder="1" applyAlignment="1">
      <alignment horizontal="center" vertical="center"/>
    </xf>
    <xf numFmtId="0" fontId="1" fillId="0" borderId="15" xfId="0" applyFont="1" applyFill="1" applyBorder="1" applyAlignment="1">
      <alignment horizontal="center" vertical="center"/>
    </xf>
    <xf numFmtId="2" fontId="15" fillId="10" borderId="15" xfId="0" applyNumberFormat="1" applyFont="1" applyFill="1" applyBorder="1" applyAlignment="1">
      <alignment horizontal="left" vertical="center"/>
    </xf>
    <xf numFmtId="2" fontId="15" fillId="12" borderId="15" xfId="0" applyNumberFormat="1" applyFont="1" applyFill="1" applyBorder="1" applyAlignment="1" applyProtection="1">
      <alignment horizontal="left" vertical="center"/>
      <protection locked="0"/>
    </xf>
    <xf numFmtId="0" fontId="3" fillId="0" borderId="17" xfId="0" applyFont="1" applyBorder="1" applyAlignment="1">
      <alignment horizontal="center" vertical="center"/>
    </xf>
    <xf numFmtId="0" fontId="4" fillId="0" borderId="35" xfId="0" applyFont="1" applyBorder="1" applyAlignment="1">
      <alignment horizontal="left" vertical="center"/>
    </xf>
    <xf numFmtId="0" fontId="1" fillId="0" borderId="35" xfId="0" applyFont="1" applyBorder="1" applyAlignment="1">
      <alignment horizontal="center" vertical="center"/>
    </xf>
    <xf numFmtId="0" fontId="1" fillId="0" borderId="7" xfId="0" applyFont="1" applyBorder="1" applyAlignment="1">
      <alignment horizontal="center"/>
    </xf>
    <xf numFmtId="0" fontId="3" fillId="12" borderId="7" xfId="0" quotePrefix="1" applyFont="1" applyFill="1" applyBorder="1" applyAlignment="1" applyProtection="1">
      <alignment horizontal="left" vertical="center"/>
      <protection locked="0"/>
    </xf>
    <xf numFmtId="0" fontId="15" fillId="12" borderId="8" xfId="0" applyFont="1" applyFill="1" applyBorder="1" applyAlignment="1" applyProtection="1">
      <alignment horizontal="left" vertical="top" wrapText="1"/>
      <protection locked="0"/>
    </xf>
    <xf numFmtId="0" fontId="15" fillId="12" borderId="12" xfId="0" applyFont="1" applyFill="1" applyBorder="1" applyAlignment="1" applyProtection="1">
      <alignment horizontal="left" vertical="top"/>
      <protection locked="0"/>
    </xf>
    <xf numFmtId="0" fontId="15" fillId="12" borderId="9" xfId="0" applyFont="1" applyFill="1" applyBorder="1" applyAlignment="1" applyProtection="1">
      <alignment horizontal="left" vertical="top"/>
      <protection locked="0"/>
    </xf>
    <xf numFmtId="0" fontId="15" fillId="12" borderId="13" xfId="0" applyFont="1" applyFill="1" applyBorder="1" applyAlignment="1" applyProtection="1">
      <alignment horizontal="left" vertical="top"/>
      <protection locked="0"/>
    </xf>
    <xf numFmtId="0" fontId="15" fillId="12" borderId="0" xfId="0" applyFont="1" applyFill="1" applyBorder="1" applyAlignment="1" applyProtection="1">
      <alignment horizontal="left" vertical="top"/>
      <protection locked="0"/>
    </xf>
    <xf numFmtId="0" fontId="15" fillId="12" borderId="14" xfId="0" applyFont="1" applyFill="1" applyBorder="1" applyAlignment="1" applyProtection="1">
      <alignment horizontal="left" vertical="top"/>
      <protection locked="0"/>
    </xf>
    <xf numFmtId="0" fontId="15" fillId="12" borderId="10" xfId="0" applyFont="1" applyFill="1" applyBorder="1" applyAlignment="1" applyProtection="1">
      <alignment horizontal="left" vertical="top"/>
      <protection locked="0"/>
    </xf>
    <xf numFmtId="0" fontId="15" fillId="12" borderId="15" xfId="0" applyFont="1" applyFill="1" applyBorder="1" applyAlignment="1" applyProtection="1">
      <alignment horizontal="left" vertical="top"/>
      <protection locked="0"/>
    </xf>
    <xf numFmtId="0" fontId="15" fillId="12" borderId="11" xfId="0" applyFont="1" applyFill="1" applyBorder="1" applyAlignment="1" applyProtection="1">
      <alignment horizontal="left" vertical="top"/>
      <protection locked="0"/>
    </xf>
    <xf numFmtId="164" fontId="15" fillId="12" borderId="7" xfId="0" quotePrefix="1" applyNumberFormat="1" applyFont="1" applyFill="1" applyBorder="1" applyAlignment="1" applyProtection="1">
      <alignment horizontal="left" vertical="center"/>
      <protection locked="0"/>
    </xf>
    <xf numFmtId="0" fontId="15" fillId="12" borderId="7" xfId="0" quotePrefix="1" applyFont="1" applyFill="1" applyBorder="1" applyAlignment="1" applyProtection="1">
      <alignment horizontal="left" vertical="center"/>
      <protection locked="0"/>
    </xf>
    <xf numFmtId="0" fontId="3" fillId="12" borderId="7" xfId="0" applyFont="1" applyFill="1" applyBorder="1" applyAlignment="1" applyProtection="1">
      <alignment horizontal="center" vertical="center"/>
      <protection locked="0"/>
    </xf>
    <xf numFmtId="0" fontId="5" fillId="0" borderId="0" xfId="0" applyFont="1" applyFill="1" applyBorder="1" applyAlignment="1">
      <alignment horizontal="right" vertical="center"/>
    </xf>
    <xf numFmtId="49" fontId="1" fillId="0" borderId="20" xfId="0" applyNumberFormat="1" applyFont="1" applyFill="1" applyBorder="1" applyAlignment="1">
      <alignment horizontal="left" vertical="center" indent="1"/>
    </xf>
    <xf numFmtId="0" fontId="1" fillId="0" borderId="26" xfId="0" applyFont="1" applyFill="1" applyBorder="1" applyAlignment="1">
      <alignment horizontal="left" vertical="center" indent="1"/>
    </xf>
    <xf numFmtId="0" fontId="1" fillId="0" borderId="18" xfId="0" applyFont="1" applyFill="1" applyBorder="1" applyAlignment="1">
      <alignment horizontal="left" vertical="center" indent="1"/>
    </xf>
    <xf numFmtId="0" fontId="1" fillId="0" borderId="19" xfId="0" applyFont="1" applyFill="1" applyBorder="1" applyAlignment="1">
      <alignment horizontal="left" vertical="center" indent="1"/>
    </xf>
    <xf numFmtId="0" fontId="1" fillId="0" borderId="20" xfId="0" applyFont="1" applyFill="1" applyBorder="1" applyAlignment="1">
      <alignment horizontal="left" vertical="center" indent="1"/>
    </xf>
    <xf numFmtId="165" fontId="1" fillId="0" borderId="22" xfId="0" applyNumberFormat="1" applyFont="1" applyFill="1" applyBorder="1" applyAlignment="1">
      <alignment horizontal="left" vertical="center" indent="1"/>
    </xf>
    <xf numFmtId="165" fontId="1" fillId="0" borderId="27" xfId="0" applyNumberFormat="1" applyFont="1" applyFill="1" applyBorder="1" applyAlignment="1">
      <alignment horizontal="left" vertical="center" indent="1"/>
    </xf>
    <xf numFmtId="165" fontId="1" fillId="0" borderId="21" xfId="0" applyNumberFormat="1" applyFont="1" applyFill="1" applyBorder="1" applyAlignment="1">
      <alignment horizontal="left" vertical="center" indent="1"/>
    </xf>
    <xf numFmtId="165" fontId="1" fillId="0" borderId="0" xfId="0" applyNumberFormat="1" applyFont="1" applyFill="1" applyBorder="1" applyAlignment="1">
      <alignment horizontal="left" vertical="center" indent="1"/>
    </xf>
    <xf numFmtId="15" fontId="1" fillId="0" borderId="22" xfId="0" applyNumberFormat="1" applyFont="1" applyFill="1" applyBorder="1" applyAlignment="1">
      <alignment horizontal="left" vertical="center" indent="1"/>
    </xf>
    <xf numFmtId="15" fontId="1" fillId="0" borderId="27" xfId="0" applyNumberFormat="1" applyFont="1" applyFill="1" applyBorder="1" applyAlignment="1">
      <alignment horizontal="left" vertical="center" indent="1"/>
    </xf>
    <xf numFmtId="15" fontId="1" fillId="0" borderId="21" xfId="0" applyNumberFormat="1" applyFont="1" applyFill="1" applyBorder="1" applyAlignment="1">
      <alignment horizontal="left" vertical="center" indent="1"/>
    </xf>
    <xf numFmtId="15" fontId="1" fillId="0" borderId="0" xfId="0" applyNumberFormat="1" applyFont="1" applyFill="1" applyBorder="1" applyAlignment="1">
      <alignment horizontal="left" vertical="center" indent="1"/>
    </xf>
    <xf numFmtId="0" fontId="1" fillId="0" borderId="24" xfId="0" applyFont="1" applyFill="1" applyBorder="1" applyAlignment="1">
      <alignment horizontal="left" vertical="center" indent="1"/>
    </xf>
    <xf numFmtId="0" fontId="1" fillId="0" borderId="28" xfId="0" applyFont="1" applyFill="1" applyBorder="1" applyAlignment="1">
      <alignment horizontal="left" vertical="center" indent="1"/>
    </xf>
    <xf numFmtId="0" fontId="1" fillId="0" borderId="23" xfId="0" applyFont="1" applyFill="1" applyBorder="1" applyAlignment="1">
      <alignment horizontal="left" vertical="center" indent="1"/>
    </xf>
    <xf numFmtId="165" fontId="21" fillId="12" borderId="16" xfId="0" applyNumberFormat="1" applyFont="1" applyFill="1" applyBorder="1" applyAlignment="1" applyProtection="1">
      <alignment horizontal="left" vertical="center" indent="1"/>
      <protection locked="0"/>
    </xf>
    <xf numFmtId="165" fontId="21" fillId="12" borderId="24" xfId="0" applyNumberFormat="1" applyFont="1" applyFill="1" applyBorder="1" applyAlignment="1" applyProtection="1">
      <alignment horizontal="left" vertical="center" indent="1"/>
      <protection locked="0"/>
    </xf>
    <xf numFmtId="164" fontId="15" fillId="12" borderId="15" xfId="0" applyNumberFormat="1" applyFont="1" applyFill="1" applyBorder="1" applyAlignment="1" applyProtection="1">
      <alignment horizontal="left" vertical="center"/>
      <protection locked="0"/>
    </xf>
    <xf numFmtId="164" fontId="15" fillId="12" borderId="7" xfId="0" applyNumberFormat="1" applyFont="1" applyFill="1" applyBorder="1" applyAlignment="1" applyProtection="1">
      <alignment horizontal="left" vertical="center"/>
      <protection locked="0"/>
    </xf>
    <xf numFmtId="0" fontId="2" fillId="0" borderId="19" xfId="0" applyFont="1" applyFill="1" applyBorder="1" applyAlignment="1">
      <alignment horizontal="center" vertical="center"/>
    </xf>
    <xf numFmtId="0" fontId="2" fillId="0" borderId="0" xfId="0" applyFont="1" applyFill="1" applyBorder="1" applyAlignment="1">
      <alignment horizontal="center" vertical="center"/>
    </xf>
  </cellXfs>
  <cellStyles count="1">
    <cellStyle name="Normal" xfId="0" builtinId="0"/>
  </cellStyles>
  <dxfs count="9">
    <dxf>
      <font>
        <color theme="0"/>
      </font>
      <fill>
        <patternFill patternType="solid">
          <bgColor theme="0"/>
        </patternFill>
      </fill>
    </dxf>
    <dxf>
      <font>
        <color theme="0"/>
      </font>
      <fill>
        <patternFill patternType="solid">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solid">
          <bgColor theme="0"/>
        </patternFill>
      </fill>
    </dxf>
    <dxf>
      <font>
        <color theme="0"/>
      </font>
      <fill>
        <patternFill>
          <bgColor theme="0"/>
        </patternFill>
      </fill>
    </dxf>
    <dxf>
      <font>
        <color theme="2"/>
      </font>
    </dxf>
    <dxf>
      <font>
        <color auto="1"/>
      </font>
      <fill>
        <patternFill>
          <bgColor theme="0" tint="-4.9989318521683403E-2"/>
        </patternFill>
      </fill>
    </dxf>
  </dxfs>
  <tableStyles count="0" defaultTableStyle="TableStyleMedium2" defaultPivotStyle="PivotStyleLight16"/>
  <colors>
    <mruColors>
      <color rgb="FFF7F7F7"/>
      <color rgb="FFF8F8F8"/>
      <color rgb="FFFBFBFB"/>
      <color rgb="FFF8FA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A$40" lockText="1" noThreeD="1"/>
</file>

<file path=xl/ctrlProps/ctrlProp5.xml><?xml version="1.0" encoding="utf-8"?>
<formControlPr xmlns="http://schemas.microsoft.com/office/spreadsheetml/2009/9/main" objectType="CheckBox" fmlaLink="$A$5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101" lockText="1" noThreeD="1"/>
</file>

<file path=xl/ctrlProps/ctrlProp8.xml><?xml version="1.0" encoding="utf-8"?>
<formControlPr xmlns="http://schemas.microsoft.com/office/spreadsheetml/2009/9/main" objectType="CheckBox" fmlaLink="$A$139" lockText="1" noThreeD="1"/>
</file>

<file path=xl/ctrlProps/ctrlProp9.xml><?xml version="1.0" encoding="utf-8"?>
<formControlPr xmlns="http://schemas.microsoft.com/office/spreadsheetml/2009/9/main" objectType="CheckBox" fmlaLink="$A$177"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A$229"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fmlaLink="$A$281"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A$333"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A$385"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fmlaLink="$A$437"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A$489"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fmlaLink="$A$541"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fmlaLink="$A$593"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CheckBox" fmlaLink="$A$53" lockText="1" noThreeD="1"/>
</file>

<file path=xl/ctrlProps/ctrlProp32.xml><?xml version="1.0" encoding="utf-8"?>
<formControlPr xmlns="http://schemas.microsoft.com/office/spreadsheetml/2009/9/main" objectType="CheckBox" fmlaLink="$A$53" lockText="1" noThreeD="1"/>
</file>

<file path=xl/ctrlProps/ctrlProp33.xml><?xml version="1.0" encoding="utf-8"?>
<formControlPr xmlns="http://schemas.microsoft.com/office/spreadsheetml/2009/9/main" objectType="CheckBox" fmlaLink="$A$53" lockText="1" noThreeD="1"/>
</file>

<file path=xl/ctrlProps/ctrlProp34.xml><?xml version="1.0" encoding="utf-8"?>
<formControlPr xmlns="http://schemas.microsoft.com/office/spreadsheetml/2009/9/main" objectType="CheckBox" fmlaLink="$A$53" lockText="1" noThreeD="1"/>
</file>

<file path=xl/ctrlProps/ctrlProp35.xml><?xml version="1.0" encoding="utf-8"?>
<formControlPr xmlns="http://schemas.microsoft.com/office/spreadsheetml/2009/9/main" objectType="CheckBox" checked="Checked" fmlaLink="$A$11"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331320</xdr:colOff>
      <xdr:row>4</xdr:row>
      <xdr:rowOff>24849</xdr:rowOff>
    </xdr:from>
    <xdr:to>
      <xdr:col>8</xdr:col>
      <xdr:colOff>273883</xdr:colOff>
      <xdr:row>7</xdr:row>
      <xdr:rowOff>166119</xdr:rowOff>
    </xdr:to>
    <xdr:pic>
      <xdr:nvPicPr>
        <xdr:cNvPr id="4" name="Picture 99" descr="logo_bcoms">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763" t="-17190" r="-4300" b="-11447"/>
        <a:stretch/>
      </xdr:blipFill>
      <xdr:spPr bwMode="auto">
        <a:xfrm>
          <a:off x="3859711" y="786849"/>
          <a:ext cx="1118694" cy="7127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11</xdr:col>
          <xdr:colOff>19050</xdr:colOff>
          <xdr:row>48</xdr:row>
          <xdr:rowOff>9525</xdr:rowOff>
        </xdr:from>
        <xdr:to>
          <xdr:col>13</xdr:col>
          <xdr:colOff>0</xdr:colOff>
          <xdr:row>48</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66</xdr:row>
          <xdr:rowOff>9525</xdr:rowOff>
        </xdr:from>
        <xdr:to>
          <xdr:col>13</xdr:col>
          <xdr:colOff>0</xdr:colOff>
          <xdr:row>66</xdr:row>
          <xdr:rowOff>180975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119</xdr:row>
          <xdr:rowOff>9525</xdr:rowOff>
        </xdr:from>
        <xdr:to>
          <xdr:col>13</xdr:col>
          <xdr:colOff>0</xdr:colOff>
          <xdr:row>119</xdr:row>
          <xdr:rowOff>180975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438150</xdr:colOff>
          <xdr:row>38</xdr:row>
          <xdr:rowOff>180975</xdr:rowOff>
        </xdr:from>
        <xdr:to>
          <xdr:col>4</xdr:col>
          <xdr:colOff>38100</xdr:colOff>
          <xdr:row>40</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48</xdr:row>
          <xdr:rowOff>180975</xdr:rowOff>
        </xdr:from>
        <xdr:to>
          <xdr:col>4</xdr:col>
          <xdr:colOff>523875</xdr:colOff>
          <xdr:row>49</xdr:row>
          <xdr:rowOff>180975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71</xdr:row>
          <xdr:rowOff>28575</xdr:rowOff>
        </xdr:from>
        <xdr:to>
          <xdr:col>16383</xdr:col>
          <xdr:colOff>9525</xdr:colOff>
          <xdr:row>72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Calibri"/>
                  <a:cs typeface="Calibri"/>
                </a:rPr>
                <a:t>ENTER  PANELS  AND  INSULATION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99</xdr:row>
          <xdr:rowOff>180975</xdr:rowOff>
        </xdr:from>
        <xdr:to>
          <xdr:col>5</xdr:col>
          <xdr:colOff>123825</xdr:colOff>
          <xdr:row>100</xdr:row>
          <xdr:rowOff>180975</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137</xdr:row>
          <xdr:rowOff>190500</xdr:rowOff>
        </xdr:from>
        <xdr:to>
          <xdr:col>5</xdr:col>
          <xdr:colOff>0</xdr:colOff>
          <xdr:row>138</xdr:row>
          <xdr:rowOff>180975</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176</xdr:row>
          <xdr:rowOff>28575</xdr:rowOff>
        </xdr:from>
        <xdr:to>
          <xdr:col>4</xdr:col>
          <xdr:colOff>514350</xdr:colOff>
          <xdr:row>176</xdr:row>
          <xdr:rowOff>161925</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139</xdr:row>
          <xdr:rowOff>9525</xdr:rowOff>
        </xdr:from>
        <xdr:to>
          <xdr:col>13</xdr:col>
          <xdr:colOff>0</xdr:colOff>
          <xdr:row>140</xdr:row>
          <xdr:rowOff>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177</xdr:row>
          <xdr:rowOff>9525</xdr:rowOff>
        </xdr:from>
        <xdr:to>
          <xdr:col>12</xdr:col>
          <xdr:colOff>590550</xdr:colOff>
          <xdr:row>178</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101</xdr:row>
          <xdr:rowOff>9525</xdr:rowOff>
        </xdr:from>
        <xdr:to>
          <xdr:col>13</xdr:col>
          <xdr:colOff>0</xdr:colOff>
          <xdr:row>102</xdr:row>
          <xdr:rowOff>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304800</xdr:colOff>
          <xdr:row>228</xdr:row>
          <xdr:rowOff>19050</xdr:rowOff>
        </xdr:from>
        <xdr:to>
          <xdr:col>4</xdr:col>
          <xdr:colOff>514350</xdr:colOff>
          <xdr:row>228</xdr:row>
          <xdr:rowOff>180975</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229</xdr:row>
          <xdr:rowOff>9525</xdr:rowOff>
        </xdr:from>
        <xdr:to>
          <xdr:col>12</xdr:col>
          <xdr:colOff>590550</xdr:colOff>
          <xdr:row>230</xdr:row>
          <xdr:rowOff>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279</xdr:row>
          <xdr:rowOff>171450</xdr:rowOff>
        </xdr:from>
        <xdr:to>
          <xdr:col>4</xdr:col>
          <xdr:colOff>133350</xdr:colOff>
          <xdr:row>332</xdr:row>
          <xdr:rowOff>19050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281</xdr:row>
          <xdr:rowOff>9525</xdr:rowOff>
        </xdr:from>
        <xdr:to>
          <xdr:col>12</xdr:col>
          <xdr:colOff>590550</xdr:colOff>
          <xdr:row>282</xdr:row>
          <xdr:rowOff>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100-00000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332</xdr:row>
          <xdr:rowOff>28575</xdr:rowOff>
        </xdr:from>
        <xdr:to>
          <xdr:col>4</xdr:col>
          <xdr:colOff>161925</xdr:colOff>
          <xdr:row>332</xdr:row>
          <xdr:rowOff>180975</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333</xdr:row>
          <xdr:rowOff>9525</xdr:rowOff>
        </xdr:from>
        <xdr:to>
          <xdr:col>12</xdr:col>
          <xdr:colOff>590550</xdr:colOff>
          <xdr:row>334</xdr:row>
          <xdr:rowOff>0</xdr:rowOff>
        </xdr:to>
        <xdr:sp macro="" textlink="">
          <xdr:nvSpPr>
            <xdr:cNvPr id="4111" name="Button 15"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384</xdr:row>
          <xdr:rowOff>19050</xdr:rowOff>
        </xdr:from>
        <xdr:to>
          <xdr:col>4</xdr:col>
          <xdr:colOff>161925</xdr:colOff>
          <xdr:row>384</xdr:row>
          <xdr:rowOff>180975</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1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385</xdr:row>
          <xdr:rowOff>9525</xdr:rowOff>
        </xdr:from>
        <xdr:to>
          <xdr:col>12</xdr:col>
          <xdr:colOff>590550</xdr:colOff>
          <xdr:row>386</xdr:row>
          <xdr:rowOff>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436</xdr:row>
          <xdr:rowOff>19050</xdr:rowOff>
        </xdr:from>
        <xdr:to>
          <xdr:col>4</xdr:col>
          <xdr:colOff>161925</xdr:colOff>
          <xdr:row>436</xdr:row>
          <xdr:rowOff>180975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1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437</xdr:row>
          <xdr:rowOff>9525</xdr:rowOff>
        </xdr:from>
        <xdr:to>
          <xdr:col>12</xdr:col>
          <xdr:colOff>590550</xdr:colOff>
          <xdr:row>438</xdr:row>
          <xdr:rowOff>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488</xdr:row>
          <xdr:rowOff>9525</xdr:rowOff>
        </xdr:from>
        <xdr:to>
          <xdr:col>3</xdr:col>
          <xdr:colOff>371475</xdr:colOff>
          <xdr:row>540</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1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489</xdr:row>
          <xdr:rowOff>0</xdr:rowOff>
        </xdr:from>
        <xdr:to>
          <xdr:col>12</xdr:col>
          <xdr:colOff>590550</xdr:colOff>
          <xdr:row>490</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100-00001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540</xdr:row>
          <xdr:rowOff>9525</xdr:rowOff>
        </xdr:from>
        <xdr:to>
          <xdr:col>3</xdr:col>
          <xdr:colOff>371475</xdr:colOff>
          <xdr:row>592</xdr:row>
          <xdr:rowOff>9525</xdr:rowOff>
        </xdr:to>
        <xdr:sp macro="" textlink="">
          <xdr:nvSpPr>
            <xdr:cNvPr id="4118" name="Check Box 22" hidden="1">
              <a:extLst>
                <a:ext uri="{63B3BB69-23CF-44E3-9099-C40C66FF867C}">
                  <a14:compatExt spid="_x0000_s4118"/>
                </a:ext>
                <a:ext uri="{FF2B5EF4-FFF2-40B4-BE49-F238E27FC236}">
                  <a16:creationId xmlns:a16="http://schemas.microsoft.com/office/drawing/2014/main" id="{00000000-0008-0000-01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541</xdr:row>
          <xdr:rowOff>9525</xdr:rowOff>
        </xdr:from>
        <xdr:to>
          <xdr:col>12</xdr:col>
          <xdr:colOff>590550</xdr:colOff>
          <xdr:row>542</xdr:row>
          <xdr:rowOff>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100-00001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592</xdr:row>
          <xdr:rowOff>28575</xdr:rowOff>
        </xdr:from>
        <xdr:to>
          <xdr:col>4</xdr:col>
          <xdr:colOff>457200</xdr:colOff>
          <xdr:row>592</xdr:row>
          <xdr:rowOff>200025</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1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28575</xdr:colOff>
          <xdr:row>593</xdr:row>
          <xdr:rowOff>9525</xdr:rowOff>
        </xdr:from>
        <xdr:to>
          <xdr:col>12</xdr:col>
          <xdr:colOff>590550</xdr:colOff>
          <xdr:row>593</xdr:row>
          <xdr:rowOff>190500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Calibri"/>
                  <a:cs typeface="Calibri"/>
                </a:rPr>
                <a:t>ADD/ADJUST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19050</xdr:rowOff>
        </xdr:from>
        <xdr:to>
          <xdr:col>6</xdr:col>
          <xdr:colOff>0</xdr:colOff>
          <xdr:row>9</xdr:row>
          <xdr:rowOff>180975</xdr:rowOff>
        </xdr:to>
        <xdr:sp macro="" textlink="">
          <xdr:nvSpPr>
            <xdr:cNvPr id="4122" name="Button 26" hidden="1">
              <a:extLst>
                <a:ext uri="{63B3BB69-23CF-44E3-9099-C40C66FF867C}">
                  <a14:compatExt spid="_x0000_s4122"/>
                </a:ext>
                <a:ext uri="{FF2B5EF4-FFF2-40B4-BE49-F238E27FC236}">
                  <a16:creationId xmlns:a16="http://schemas.microsoft.com/office/drawing/2014/main" id="{00000000-0008-0000-0100-00001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Calibri"/>
                  <a:cs typeface="Calibri"/>
                </a:rPr>
                <a:t>BUILDING - AREA</a:t>
              </a:r>
            </a:p>
          </xdr:txBody>
        </xdr:sp>
        <xdr:clientData fPrintsWithSheet="0"/>
      </xdr:twoCellAnchor>
    </mc:Choice>
    <mc:Fallback/>
  </mc:AlternateContent>
  <xdr:twoCellAnchor editAs="oneCell">
    <xdr:from>
      <xdr:col>6</xdr:col>
      <xdr:colOff>331320</xdr:colOff>
      <xdr:row>4</xdr:row>
      <xdr:rowOff>24849</xdr:rowOff>
    </xdr:from>
    <xdr:to>
      <xdr:col>8</xdr:col>
      <xdr:colOff>273884</xdr:colOff>
      <xdr:row>7</xdr:row>
      <xdr:rowOff>166119</xdr:rowOff>
    </xdr:to>
    <xdr:pic>
      <xdr:nvPicPr>
        <xdr:cNvPr id="31" name="Picture 99" descr="logo_bcoms">
          <a:extLst>
            <a:ext uri="{FF2B5EF4-FFF2-40B4-BE49-F238E27FC236}">
              <a16:creationId xmlns:a16="http://schemas.microsoft.com/office/drawing/2014/main" id="{00000000-0008-0000-0100-00001F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763" t="-17190" r="-4300" b="-11447"/>
        <a:stretch/>
      </xdr:blipFill>
      <xdr:spPr bwMode="auto">
        <a:xfrm>
          <a:off x="3271646" y="786849"/>
          <a:ext cx="1118694" cy="7127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0</xdr:colOff>
          <xdr:row>2</xdr:row>
          <xdr:rowOff>104775</xdr:rowOff>
        </xdr:from>
        <xdr:to>
          <xdr:col>4</xdr:col>
          <xdr:colOff>209550</xdr:colOff>
          <xdr:row>3</xdr:row>
          <xdr:rowOff>161925</xdr:rowOff>
        </xdr:to>
        <xdr:sp macro="" textlink="">
          <xdr:nvSpPr>
            <xdr:cNvPr id="4124" name="Button 28" hidden="1">
              <a:extLst>
                <a:ext uri="{63B3BB69-23CF-44E3-9099-C40C66FF867C}">
                  <a14:compatExt spid="_x0000_s4124"/>
                </a:ext>
                <a:ext uri="{FF2B5EF4-FFF2-40B4-BE49-F238E27FC236}">
                  <a16:creationId xmlns:a16="http://schemas.microsoft.com/office/drawing/2014/main" id="{00000000-0008-0000-0100-00001C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OPTIMIZE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52</xdr:row>
          <xdr:rowOff>9525</xdr:rowOff>
        </xdr:from>
        <xdr:to>
          <xdr:col>4</xdr:col>
          <xdr:colOff>342900</xdr:colOff>
          <xdr:row>57</xdr:row>
          <xdr:rowOff>9525</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57</xdr:row>
          <xdr:rowOff>19050</xdr:rowOff>
        </xdr:from>
        <xdr:to>
          <xdr:col>4</xdr:col>
          <xdr:colOff>342900</xdr:colOff>
          <xdr:row>58</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62</xdr:row>
          <xdr:rowOff>19050</xdr:rowOff>
        </xdr:from>
        <xdr:to>
          <xdr:col>4</xdr:col>
          <xdr:colOff>342900</xdr:colOff>
          <xdr:row>67</xdr:row>
          <xdr:rowOff>19050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1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67</xdr:row>
          <xdr:rowOff>9525</xdr:rowOff>
        </xdr:from>
        <xdr:to>
          <xdr:col>4</xdr:col>
          <xdr:colOff>352425</xdr:colOff>
          <xdr:row>71</xdr:row>
          <xdr:rowOff>9525</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1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10</xdr:row>
          <xdr:rowOff>66675</xdr:rowOff>
        </xdr:from>
        <xdr:to>
          <xdr:col>6</xdr:col>
          <xdr:colOff>228600</xdr:colOff>
          <xdr:row>10</xdr:row>
          <xdr:rowOff>266700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1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581025</xdr:colOff>
          <xdr:row>8</xdr:row>
          <xdr:rowOff>19050</xdr:rowOff>
        </xdr:from>
        <xdr:to>
          <xdr:col>12</xdr:col>
          <xdr:colOff>581025</xdr:colOff>
          <xdr:row>9</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100-00002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00FF"/>
                  </a:solidFill>
                  <a:latin typeface="Calibri"/>
                  <a:cs typeface="Calibri"/>
                </a:rPr>
                <a:t>CLEAR  PAGE  INFO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200025</xdr:colOff>
          <xdr:row>1</xdr:row>
          <xdr:rowOff>66675</xdr:rowOff>
        </xdr:from>
        <xdr:to>
          <xdr:col>7</xdr:col>
          <xdr:colOff>685800</xdr:colOff>
          <xdr:row>1</xdr:row>
          <xdr:rowOff>257175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Button 1</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2.vml"/><Relationship Id="rId21" Type="http://schemas.openxmlformats.org/officeDocument/2006/relationships/ctrlProp" Target="../ctrlProps/ctrlProp21.xml"/><Relationship Id="rId34" Type="http://schemas.openxmlformats.org/officeDocument/2006/relationships/ctrlProp" Target="../ctrlProps/ctrlProp34.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2" Type="http://schemas.openxmlformats.org/officeDocument/2006/relationships/drawing" Target="../drawings/drawing2.xml"/><Relationship Id="rId16" Type="http://schemas.openxmlformats.org/officeDocument/2006/relationships/ctrlProp" Target="../ctrlProps/ctrlProp16.xml"/><Relationship Id="rId20" Type="http://schemas.openxmlformats.org/officeDocument/2006/relationships/ctrlProp" Target="../ctrlProps/ctrlProp20.xml"/><Relationship Id="rId29" Type="http://schemas.openxmlformats.org/officeDocument/2006/relationships/ctrlProp" Target="../ctrlProps/ctrlProp29.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10" Type="http://schemas.openxmlformats.org/officeDocument/2006/relationships/ctrlProp" Target="../ctrlProps/ctrlProp10.xml"/><Relationship Id="rId19" Type="http://schemas.openxmlformats.org/officeDocument/2006/relationships/ctrlProp" Target="../ctrlProps/ctrlProp19.xml"/><Relationship Id="rId31" Type="http://schemas.openxmlformats.org/officeDocument/2006/relationships/ctrlProp" Target="../ctrlProps/ctrlProp31.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Z259"/>
  <sheetViews>
    <sheetView showGridLines="0" showRowColHeaders="0" tabSelected="1" topLeftCell="B1" zoomScaleNormal="100" workbookViewId="0">
      <selection activeCell="C140" sqref="C140:D140"/>
    </sheetView>
  </sheetViews>
  <sheetFormatPr defaultColWidth="0" defaultRowHeight="15" customHeight="1" x14ac:dyDescent="0.2"/>
  <cols>
    <col min="1" max="1" width="5.6328125" style="2" hidden="1" customWidth="1"/>
    <col min="2" max="14" width="5.6328125" style="2" customWidth="1"/>
    <col min="15" max="15" width="11.26953125" style="2" hidden="1" customWidth="1"/>
    <col min="16" max="16" width="10.36328125" style="2" hidden="1" customWidth="1"/>
    <col min="17" max="20" width="5.6328125" style="2" hidden="1" customWidth="1"/>
    <col min="21" max="21" width="9.54296875" style="2" hidden="1" customWidth="1"/>
    <col min="22" max="16384" width="5.6328125" style="2" hidden="1"/>
  </cols>
  <sheetData>
    <row r="1" spans="1:16" ht="10.5" customHeight="1" x14ac:dyDescent="0.2">
      <c r="C1" s="241"/>
      <c r="D1" s="241"/>
      <c r="E1" s="241"/>
      <c r="F1" s="241"/>
      <c r="G1" s="241"/>
      <c r="H1" s="241"/>
      <c r="I1" s="241"/>
      <c r="J1" s="241"/>
      <c r="K1" s="241"/>
      <c r="L1" s="241"/>
      <c r="M1" s="241"/>
    </row>
    <row r="2" spans="1:16" ht="10.5" customHeight="1" x14ac:dyDescent="0.2">
      <c r="C2" s="241"/>
      <c r="D2" s="241"/>
      <c r="E2" s="241"/>
      <c r="F2" s="241"/>
      <c r="G2" s="241"/>
      <c r="H2" s="241"/>
      <c r="I2" s="241"/>
      <c r="J2" s="241"/>
      <c r="K2" s="241"/>
      <c r="L2" s="241"/>
      <c r="M2" s="241"/>
      <c r="N2" s="1"/>
      <c r="O2" s="1"/>
    </row>
    <row r="3" spans="1:16" ht="15" customHeight="1" x14ac:dyDescent="0.2">
      <c r="C3" s="242"/>
      <c r="D3" s="242"/>
      <c r="E3" s="242"/>
      <c r="F3" s="242"/>
      <c r="G3" s="242"/>
      <c r="H3" s="242"/>
      <c r="I3" s="242"/>
      <c r="J3" s="242"/>
      <c r="K3" s="242"/>
      <c r="L3" s="247" t="s">
        <v>444</v>
      </c>
      <c r="M3" s="247"/>
      <c r="N3" s="1"/>
      <c r="O3" s="1"/>
      <c r="P3" s="2" t="s">
        <v>411</v>
      </c>
    </row>
    <row r="4" spans="1:16" ht="15" customHeight="1" thickBot="1" x14ac:dyDescent="0.25">
      <c r="C4" s="213" t="s">
        <v>0</v>
      </c>
      <c r="D4" s="213"/>
      <c r="E4" s="213"/>
      <c r="F4" s="213"/>
      <c r="G4" s="213"/>
      <c r="H4" s="213"/>
      <c r="I4" s="213"/>
      <c r="J4" s="213"/>
      <c r="K4" s="213"/>
      <c r="L4" s="213"/>
      <c r="M4" s="213"/>
      <c r="N4" s="1"/>
      <c r="O4" s="1"/>
      <c r="P4" s="2" t="s">
        <v>412</v>
      </c>
    </row>
    <row r="5" spans="1:16" ht="15" customHeight="1" x14ac:dyDescent="0.2">
      <c r="C5" s="3" t="s">
        <v>1</v>
      </c>
      <c r="D5" s="218" t="s">
        <v>455</v>
      </c>
      <c r="E5" s="219"/>
      <c r="F5" s="220"/>
      <c r="G5" s="221"/>
      <c r="H5" s="222"/>
      <c r="I5" s="223"/>
      <c r="J5" s="214" t="s">
        <v>5</v>
      </c>
      <c r="K5" s="215"/>
      <c r="L5" s="216" t="s">
        <v>453</v>
      </c>
      <c r="M5" s="217"/>
      <c r="N5" s="1"/>
      <c r="O5" s="1"/>
    </row>
    <row r="6" spans="1:16" ht="15" customHeight="1" x14ac:dyDescent="0.2">
      <c r="C6" s="4" t="s">
        <v>2</v>
      </c>
      <c r="D6" s="233" t="s">
        <v>354</v>
      </c>
      <c r="E6" s="234"/>
      <c r="F6" s="235"/>
      <c r="G6" s="224"/>
      <c r="H6" s="225"/>
      <c r="I6" s="226"/>
      <c r="J6" s="248" t="s">
        <v>6</v>
      </c>
      <c r="K6" s="249"/>
      <c r="L6" s="250" t="s">
        <v>452</v>
      </c>
      <c r="M6" s="251"/>
      <c r="N6" s="1"/>
      <c r="O6" s="1"/>
    </row>
    <row r="7" spans="1:16" ht="15" customHeight="1" x14ac:dyDescent="0.2">
      <c r="C7" s="4" t="s">
        <v>3</v>
      </c>
      <c r="D7" s="244">
        <v>45446</v>
      </c>
      <c r="E7" s="245"/>
      <c r="F7" s="246"/>
      <c r="G7" s="224"/>
      <c r="H7" s="225"/>
      <c r="I7" s="226"/>
      <c r="J7" s="248" t="s">
        <v>7</v>
      </c>
      <c r="K7" s="249"/>
      <c r="L7" s="252">
        <v>45268</v>
      </c>
      <c r="M7" s="244"/>
      <c r="N7" s="1"/>
      <c r="O7" s="1"/>
    </row>
    <row r="8" spans="1:16" ht="15" customHeight="1" thickBot="1" x14ac:dyDescent="0.25">
      <c r="C8" s="7" t="s">
        <v>4</v>
      </c>
      <c r="D8" s="230" t="s">
        <v>447</v>
      </c>
      <c r="E8" s="231"/>
      <c r="F8" s="232"/>
      <c r="G8" s="227"/>
      <c r="H8" s="228"/>
      <c r="I8" s="229"/>
      <c r="J8" s="253" t="s">
        <v>19</v>
      </c>
      <c r="K8" s="254"/>
      <c r="L8" s="265" t="s">
        <v>456</v>
      </c>
      <c r="M8" s="266"/>
      <c r="N8" s="1"/>
      <c r="O8" s="1"/>
    </row>
    <row r="9" spans="1:16" ht="7.5" customHeight="1" x14ac:dyDescent="0.2">
      <c r="C9" s="243"/>
      <c r="D9" s="243"/>
      <c r="E9" s="243"/>
      <c r="F9" s="243"/>
      <c r="G9" s="243"/>
      <c r="H9" s="243"/>
      <c r="I9" s="243"/>
      <c r="J9" s="243"/>
      <c r="K9" s="243"/>
      <c r="L9" s="243"/>
      <c r="M9" s="243"/>
      <c r="N9" s="1"/>
      <c r="O9" s="1"/>
    </row>
    <row r="10" spans="1:16" ht="7.5" customHeight="1" x14ac:dyDescent="0.2">
      <c r="C10" s="242"/>
      <c r="D10" s="242"/>
      <c r="E10" s="242"/>
      <c r="F10" s="242"/>
      <c r="G10" s="242"/>
      <c r="H10" s="242"/>
      <c r="I10" s="242"/>
      <c r="J10" s="242"/>
      <c r="K10" s="242"/>
      <c r="L10" s="242"/>
      <c r="M10" s="242"/>
      <c r="N10" s="1"/>
      <c r="O10" s="1"/>
    </row>
    <row r="11" spans="1:16" ht="15" customHeight="1" x14ac:dyDescent="0.2">
      <c r="C11" s="191" t="s">
        <v>41</v>
      </c>
      <c r="D11" s="191"/>
      <c r="E11" s="242"/>
      <c r="F11" s="242"/>
      <c r="G11" s="242"/>
      <c r="H11" s="242"/>
      <c r="I11" s="242"/>
      <c r="J11" s="242"/>
      <c r="K11" s="242"/>
      <c r="L11" s="242"/>
      <c r="M11" s="242"/>
      <c r="N11" s="1"/>
      <c r="O11" s="1"/>
    </row>
    <row r="12" spans="1:16" ht="15" customHeight="1" x14ac:dyDescent="0.2">
      <c r="A12" s="2" t="s">
        <v>9</v>
      </c>
      <c r="C12" s="186" t="s">
        <v>8</v>
      </c>
      <c r="D12" s="186"/>
      <c r="E12" s="236" t="s">
        <v>366</v>
      </c>
      <c r="F12" s="236"/>
      <c r="G12" s="280" t="s">
        <v>10</v>
      </c>
      <c r="H12" s="280"/>
      <c r="I12" s="280"/>
      <c r="J12" s="236" t="s">
        <v>366</v>
      </c>
      <c r="K12" s="236"/>
      <c r="L12" s="237"/>
      <c r="M12" s="237"/>
      <c r="N12" s="1"/>
      <c r="O12" s="1"/>
    </row>
    <row r="13" spans="1:16" ht="15" hidden="1" customHeight="1" x14ac:dyDescent="0.2">
      <c r="A13" s="2" t="s">
        <v>366</v>
      </c>
      <c r="C13" s="175"/>
      <c r="D13" s="175"/>
      <c r="E13" s="171"/>
      <c r="F13" s="171"/>
      <c r="G13" s="275"/>
      <c r="H13" s="275"/>
      <c r="I13" s="275"/>
      <c r="J13" s="275"/>
      <c r="K13" s="275"/>
      <c r="L13" s="275"/>
      <c r="M13" s="275"/>
      <c r="N13" s="1" t="s">
        <v>342</v>
      </c>
      <c r="O13" s="1"/>
    </row>
    <row r="14" spans="1:16" ht="15" hidden="1" customHeight="1" x14ac:dyDescent="0.2">
      <c r="A14" s="2" t="s">
        <v>367</v>
      </c>
      <c r="C14" s="175" t="s">
        <v>101</v>
      </c>
      <c r="D14" s="175"/>
      <c r="E14" s="167" t="s">
        <v>369</v>
      </c>
      <c r="F14" s="167"/>
      <c r="G14" s="105"/>
      <c r="H14" s="240" t="str">
        <f>IF(OR(E14="Combined",E14="Other"),"Details","")</f>
        <v>Details</v>
      </c>
      <c r="I14" s="240"/>
      <c r="J14" s="169"/>
      <c r="K14" s="169"/>
      <c r="L14" s="170"/>
      <c r="M14" s="170"/>
      <c r="N14" s="1"/>
      <c r="O14" s="1"/>
    </row>
    <row r="15" spans="1:16" ht="15" hidden="1" customHeight="1" x14ac:dyDescent="0.2">
      <c r="C15" s="175" t="s">
        <v>383</v>
      </c>
      <c r="D15" s="175"/>
      <c r="E15" s="171"/>
      <c r="F15" s="171"/>
      <c r="G15" s="275"/>
      <c r="H15" s="275"/>
      <c r="I15" s="275"/>
      <c r="J15" s="275"/>
      <c r="K15" s="275"/>
      <c r="L15" s="275"/>
      <c r="M15" s="275"/>
      <c r="N15" s="1" t="s">
        <v>342</v>
      </c>
      <c r="O15" s="1"/>
    </row>
    <row r="16" spans="1:16" ht="15" hidden="1" customHeight="1" x14ac:dyDescent="0.2">
      <c r="C16" s="175" t="s">
        <v>12</v>
      </c>
      <c r="D16" s="175"/>
      <c r="E16" s="171"/>
      <c r="F16" s="171"/>
      <c r="G16" s="275"/>
      <c r="H16" s="275"/>
      <c r="I16" s="275"/>
      <c r="J16" s="275"/>
      <c r="K16" s="275"/>
      <c r="L16" s="275"/>
      <c r="M16" s="275"/>
      <c r="N16" s="1" t="s">
        <v>342</v>
      </c>
      <c r="O16" s="1"/>
    </row>
    <row r="17" spans="1:15" ht="15" customHeight="1" x14ac:dyDescent="0.2">
      <c r="C17" s="175" t="s">
        <v>13</v>
      </c>
      <c r="D17" s="175"/>
      <c r="E17" s="167" t="s">
        <v>14</v>
      </c>
      <c r="F17" s="167"/>
      <c r="G17" s="281" t="s">
        <v>344</v>
      </c>
      <c r="H17" s="281"/>
      <c r="I17" s="281"/>
      <c r="J17" s="238" t="str">
        <f>L5</f>
        <v>CA2-24-001-Rev01</v>
      </c>
      <c r="K17" s="238"/>
      <c r="L17" s="239"/>
      <c r="M17" s="239"/>
      <c r="N17" s="1"/>
      <c r="O17" s="1"/>
    </row>
    <row r="18" spans="1:15" ht="15" hidden="1" customHeight="1" x14ac:dyDescent="0.2">
      <c r="A18" s="2" t="s">
        <v>147</v>
      </c>
      <c r="C18" s="175" t="s">
        <v>15</v>
      </c>
      <c r="D18" s="175"/>
      <c r="E18" s="171"/>
      <c r="F18" s="171"/>
      <c r="G18" s="171"/>
      <c r="H18" s="194"/>
      <c r="I18" s="194"/>
      <c r="J18" s="194"/>
      <c r="K18" s="194"/>
      <c r="L18" s="194"/>
      <c r="M18" s="194"/>
      <c r="N18" s="1" t="s">
        <v>342</v>
      </c>
      <c r="O18" s="1"/>
    </row>
    <row r="19" spans="1:15" ht="15" hidden="1" customHeight="1" x14ac:dyDescent="0.2">
      <c r="A19" s="2" t="s">
        <v>61</v>
      </c>
      <c r="C19" s="175" t="s">
        <v>345</v>
      </c>
      <c r="D19" s="175"/>
      <c r="E19" s="171"/>
      <c r="F19" s="171"/>
      <c r="G19" s="171"/>
      <c r="H19" s="194"/>
      <c r="I19" s="194"/>
      <c r="J19" s="194"/>
      <c r="K19" s="194"/>
      <c r="L19" s="194"/>
      <c r="M19" s="194"/>
      <c r="N19" s="1" t="s">
        <v>342</v>
      </c>
      <c r="O19" s="1"/>
    </row>
    <row r="20" spans="1:15" ht="15" hidden="1" customHeight="1" x14ac:dyDescent="0.2">
      <c r="A20" s="2" t="s">
        <v>368</v>
      </c>
      <c r="C20" s="175" t="s">
        <v>16</v>
      </c>
      <c r="D20" s="175"/>
      <c r="E20" s="171"/>
      <c r="F20" s="171"/>
      <c r="G20" s="171"/>
      <c r="H20" s="194"/>
      <c r="I20" s="194"/>
      <c r="J20" s="194"/>
      <c r="K20" s="194"/>
      <c r="L20" s="194"/>
      <c r="M20" s="194"/>
      <c r="N20" s="1" t="s">
        <v>342</v>
      </c>
      <c r="O20" s="1"/>
    </row>
    <row r="21" spans="1:15" ht="15" hidden="1" customHeight="1" x14ac:dyDescent="0.2">
      <c r="A21" s="2" t="s">
        <v>369</v>
      </c>
      <c r="C21" s="175" t="s">
        <v>17</v>
      </c>
      <c r="D21" s="175"/>
      <c r="E21" s="171"/>
      <c r="F21" s="171"/>
      <c r="G21" s="171"/>
      <c r="H21" s="194"/>
      <c r="I21" s="194"/>
      <c r="J21" s="194"/>
      <c r="K21" s="194"/>
      <c r="L21" s="194"/>
      <c r="M21" s="194"/>
      <c r="N21" s="1" t="s">
        <v>342</v>
      </c>
      <c r="O21" s="1"/>
    </row>
    <row r="22" spans="1:15" ht="15" hidden="1" customHeight="1" x14ac:dyDescent="0.2">
      <c r="A22" s="2" t="s">
        <v>370</v>
      </c>
      <c r="C22" s="175" t="s">
        <v>18</v>
      </c>
      <c r="D22" s="175"/>
      <c r="E22" s="171"/>
      <c r="F22" s="171"/>
      <c r="G22" s="171"/>
      <c r="H22" s="194"/>
      <c r="I22" s="194"/>
      <c r="J22" s="194"/>
      <c r="K22" s="194"/>
      <c r="L22" s="194"/>
      <c r="M22" s="194"/>
      <c r="N22" s="1" t="s">
        <v>342</v>
      </c>
      <c r="O22" s="1"/>
    </row>
    <row r="23" spans="1:15" ht="15" hidden="1" customHeight="1" x14ac:dyDescent="0.2">
      <c r="C23" s="175" t="s">
        <v>19</v>
      </c>
      <c r="D23" s="175"/>
      <c r="E23" s="167" t="s">
        <v>21</v>
      </c>
      <c r="F23" s="167"/>
      <c r="G23" s="167"/>
      <c r="H23" s="194"/>
      <c r="I23" s="194"/>
      <c r="J23" s="194"/>
      <c r="K23" s="194"/>
      <c r="L23" s="194"/>
      <c r="M23" s="194"/>
      <c r="N23" s="1"/>
      <c r="O23" s="1"/>
    </row>
    <row r="24" spans="1:15" ht="15" hidden="1" customHeight="1" x14ac:dyDescent="0.2">
      <c r="C24" s="175" t="s">
        <v>20</v>
      </c>
      <c r="D24" s="175"/>
      <c r="E24" s="167" t="s">
        <v>372</v>
      </c>
      <c r="F24" s="167"/>
      <c r="G24" s="167"/>
      <c r="H24" s="194"/>
      <c r="I24" s="194"/>
      <c r="J24" s="194"/>
      <c r="K24" s="194"/>
      <c r="L24" s="194"/>
      <c r="M24" s="194"/>
      <c r="N24" s="1" t="s">
        <v>342</v>
      </c>
      <c r="O24" s="1"/>
    </row>
    <row r="25" spans="1:15" ht="15" customHeight="1" x14ac:dyDescent="0.2">
      <c r="A25" s="2" t="s">
        <v>14</v>
      </c>
      <c r="C25" s="175" t="s">
        <v>22</v>
      </c>
      <c r="D25" s="175"/>
      <c r="E25" s="167" t="s">
        <v>457</v>
      </c>
      <c r="F25" s="167"/>
      <c r="G25" s="282"/>
      <c r="H25" s="282"/>
      <c r="I25" s="282"/>
      <c r="J25" s="282"/>
      <c r="K25" s="282"/>
      <c r="L25" s="282"/>
      <c r="M25" s="282"/>
      <c r="N25" s="1"/>
      <c r="O25" s="1"/>
    </row>
    <row r="26" spans="1:15" ht="15" hidden="1" customHeight="1" x14ac:dyDescent="0.2">
      <c r="A26" s="2" t="s">
        <v>371</v>
      </c>
      <c r="C26" s="175" t="s">
        <v>23</v>
      </c>
      <c r="D26" s="175"/>
      <c r="E26" s="167" t="s">
        <v>412</v>
      </c>
      <c r="F26" s="167"/>
      <c r="G26" s="167"/>
      <c r="H26" s="194"/>
      <c r="I26" s="194"/>
      <c r="J26" s="194"/>
      <c r="K26" s="194"/>
      <c r="L26" s="194"/>
      <c r="M26" s="194"/>
      <c r="N26" s="1"/>
      <c r="O26" s="1"/>
    </row>
    <row r="27" spans="1:15" ht="15" hidden="1" customHeight="1" x14ac:dyDescent="0.2">
      <c r="C27" s="175" t="s">
        <v>24</v>
      </c>
      <c r="D27" s="175"/>
      <c r="E27" s="165" t="s">
        <v>27</v>
      </c>
      <c r="F27" s="165"/>
      <c r="G27" s="165"/>
      <c r="H27" s="194"/>
      <c r="I27" s="194"/>
      <c r="J27" s="194"/>
      <c r="K27" s="194"/>
      <c r="L27" s="194"/>
      <c r="M27" s="194"/>
      <c r="N27" s="1" t="s">
        <v>342</v>
      </c>
      <c r="O27" s="1"/>
    </row>
    <row r="28" spans="1:15" ht="15" hidden="1" customHeight="1" x14ac:dyDescent="0.2">
      <c r="C28" s="175" t="s">
        <v>25</v>
      </c>
      <c r="D28" s="175"/>
      <c r="E28" s="165"/>
      <c r="F28" s="177"/>
      <c r="G28" s="177"/>
      <c r="H28" s="175"/>
      <c r="I28" s="176"/>
      <c r="J28" s="176"/>
      <c r="K28" s="176"/>
      <c r="L28" s="176"/>
      <c r="M28" s="176"/>
      <c r="N28" s="1" t="s">
        <v>342</v>
      </c>
      <c r="O28" s="1"/>
    </row>
    <row r="29" spans="1:15" ht="15" hidden="1" customHeight="1" x14ac:dyDescent="0.2">
      <c r="C29" s="175" t="s">
        <v>26</v>
      </c>
      <c r="D29" s="175"/>
      <c r="E29" s="165" t="s">
        <v>28</v>
      </c>
      <c r="F29" s="165"/>
      <c r="G29" s="165"/>
      <c r="H29" s="194"/>
      <c r="I29" s="194"/>
      <c r="J29" s="194"/>
      <c r="K29" s="194"/>
      <c r="L29" s="194"/>
      <c r="M29" s="194"/>
      <c r="N29" s="1" t="s">
        <v>342</v>
      </c>
      <c r="O29" s="1"/>
    </row>
    <row r="30" spans="1:15" ht="15" hidden="1" customHeight="1" x14ac:dyDescent="0.2">
      <c r="C30" s="181" t="s">
        <v>29</v>
      </c>
      <c r="D30" s="181"/>
      <c r="E30" s="165"/>
      <c r="F30" s="177"/>
      <c r="G30" s="177"/>
      <c r="H30" s="175"/>
      <c r="I30" s="176"/>
      <c r="J30" s="176"/>
      <c r="K30" s="176"/>
      <c r="L30" s="176"/>
      <c r="M30" s="176"/>
      <c r="N30" s="1" t="s">
        <v>342</v>
      </c>
      <c r="O30" s="1"/>
    </row>
    <row r="31" spans="1:15" ht="15" hidden="1" customHeight="1" x14ac:dyDescent="0.2">
      <c r="C31" s="175" t="s">
        <v>33</v>
      </c>
      <c r="D31" s="176"/>
      <c r="E31" s="165"/>
      <c r="F31" s="177"/>
      <c r="G31" s="177"/>
      <c r="H31" s="175"/>
      <c r="I31" s="176"/>
      <c r="J31" s="176"/>
      <c r="K31" s="176"/>
      <c r="L31" s="176"/>
      <c r="M31" s="176"/>
      <c r="N31" s="1" t="s">
        <v>342</v>
      </c>
      <c r="O31" s="1"/>
    </row>
    <row r="32" spans="1:15" ht="15" hidden="1" customHeight="1" x14ac:dyDescent="0.2">
      <c r="C32" s="175" t="s">
        <v>34</v>
      </c>
      <c r="D32" s="176"/>
      <c r="E32" s="165"/>
      <c r="F32" s="177"/>
      <c r="G32" s="177"/>
      <c r="H32" s="11" t="s">
        <v>37</v>
      </c>
      <c r="I32" s="106"/>
      <c r="J32" s="109" t="s">
        <v>38</v>
      </c>
      <c r="K32" s="283"/>
      <c r="L32" s="283"/>
      <c r="M32" s="283"/>
      <c r="N32" s="1" t="s">
        <v>342</v>
      </c>
      <c r="O32" s="1"/>
    </row>
    <row r="33" spans="1:15" ht="15" hidden="1" customHeight="1" x14ac:dyDescent="0.2">
      <c r="C33" s="175" t="s">
        <v>35</v>
      </c>
      <c r="D33" s="176"/>
      <c r="E33" s="165"/>
      <c r="F33" s="177"/>
      <c r="G33" s="177"/>
      <c r="H33" s="175"/>
      <c r="I33" s="176"/>
      <c r="J33" s="176"/>
      <c r="K33" s="176"/>
      <c r="L33" s="176"/>
      <c r="M33" s="176"/>
      <c r="N33" s="1" t="s">
        <v>342</v>
      </c>
      <c r="O33" s="1"/>
    </row>
    <row r="34" spans="1:15" ht="15" hidden="1" customHeight="1" x14ac:dyDescent="0.2">
      <c r="C34" s="175" t="s">
        <v>30</v>
      </c>
      <c r="D34" s="176"/>
      <c r="E34" s="165"/>
      <c r="F34" s="177"/>
      <c r="G34" s="177"/>
      <c r="H34" s="175"/>
      <c r="I34" s="176"/>
      <c r="J34" s="176"/>
      <c r="K34" s="176"/>
      <c r="L34" s="176"/>
      <c r="M34" s="176"/>
      <c r="N34" s="1" t="s">
        <v>342</v>
      </c>
      <c r="O34" s="1"/>
    </row>
    <row r="35" spans="1:15" ht="15" hidden="1" customHeight="1" x14ac:dyDescent="0.2">
      <c r="C35" s="175" t="s">
        <v>31</v>
      </c>
      <c r="D35" s="176"/>
      <c r="E35" s="165"/>
      <c r="F35" s="177"/>
      <c r="G35" s="177"/>
      <c r="H35" s="175"/>
      <c r="I35" s="176"/>
      <c r="J35" s="109" t="s">
        <v>39</v>
      </c>
      <c r="K35" s="283"/>
      <c r="L35" s="283"/>
      <c r="M35" s="283"/>
      <c r="N35" s="1" t="s">
        <v>342</v>
      </c>
      <c r="O35" s="1"/>
    </row>
    <row r="36" spans="1:15" ht="15" hidden="1" customHeight="1" x14ac:dyDescent="0.2">
      <c r="C36" s="181" t="s">
        <v>32</v>
      </c>
      <c r="D36" s="176"/>
      <c r="E36" s="165"/>
      <c r="F36" s="177"/>
      <c r="G36" s="177"/>
      <c r="H36" s="175"/>
      <c r="I36" s="176"/>
      <c r="J36" s="176"/>
      <c r="K36" s="176"/>
      <c r="L36" s="176"/>
      <c r="M36" s="176"/>
      <c r="N36" s="1" t="s">
        <v>342</v>
      </c>
      <c r="O36" s="1"/>
    </row>
    <row r="37" spans="1:15" ht="15" hidden="1" customHeight="1" x14ac:dyDescent="0.2">
      <c r="C37" s="175" t="s">
        <v>33</v>
      </c>
      <c r="D37" s="176"/>
      <c r="E37" s="165"/>
      <c r="F37" s="177"/>
      <c r="G37" s="177"/>
      <c r="H37" s="175"/>
      <c r="I37" s="176"/>
      <c r="J37" s="176"/>
      <c r="K37" s="176"/>
      <c r="L37" s="176"/>
      <c r="M37" s="176"/>
      <c r="N37" s="1" t="s">
        <v>342</v>
      </c>
      <c r="O37" s="1"/>
    </row>
    <row r="38" spans="1:15" ht="15" hidden="1" customHeight="1" x14ac:dyDescent="0.2">
      <c r="C38" s="175" t="s">
        <v>34</v>
      </c>
      <c r="D38" s="176"/>
      <c r="E38" s="165"/>
      <c r="F38" s="177"/>
      <c r="G38" s="177"/>
      <c r="H38" s="11" t="s">
        <v>37</v>
      </c>
      <c r="I38" s="107"/>
      <c r="J38" s="109" t="s">
        <v>38</v>
      </c>
      <c r="K38" s="283"/>
      <c r="L38" s="283"/>
      <c r="M38" s="283"/>
      <c r="N38" s="1" t="s">
        <v>342</v>
      </c>
      <c r="O38" s="1"/>
    </row>
    <row r="39" spans="1:15" ht="15" hidden="1" customHeight="1" x14ac:dyDescent="0.2">
      <c r="C39" s="175" t="s">
        <v>35</v>
      </c>
      <c r="D39" s="176"/>
      <c r="E39" s="165"/>
      <c r="F39" s="177"/>
      <c r="G39" s="177"/>
      <c r="H39" s="190"/>
      <c r="I39" s="176"/>
      <c r="J39" s="176"/>
      <c r="K39" s="176"/>
      <c r="L39" s="176"/>
      <c r="M39" s="176"/>
      <c r="N39" s="1" t="s">
        <v>342</v>
      </c>
      <c r="O39" s="1"/>
    </row>
    <row r="40" spans="1:15" ht="15" hidden="1" customHeight="1" x14ac:dyDescent="0.2">
      <c r="C40" s="175" t="s">
        <v>30</v>
      </c>
      <c r="D40" s="176"/>
      <c r="E40" s="165"/>
      <c r="F40" s="177"/>
      <c r="G40" s="177"/>
      <c r="H40" s="190"/>
      <c r="I40" s="176"/>
      <c r="J40" s="176"/>
      <c r="K40" s="176"/>
      <c r="L40" s="176"/>
      <c r="M40" s="176"/>
      <c r="N40" s="1" t="s">
        <v>342</v>
      </c>
      <c r="O40" s="1"/>
    </row>
    <row r="41" spans="1:15" ht="15" hidden="1" customHeight="1" x14ac:dyDescent="0.2">
      <c r="C41" s="175" t="s">
        <v>31</v>
      </c>
      <c r="D41" s="176"/>
      <c r="E41" s="165"/>
      <c r="F41" s="177"/>
      <c r="G41" s="177"/>
      <c r="H41" s="190"/>
      <c r="I41" s="176"/>
      <c r="J41" s="109" t="s">
        <v>39</v>
      </c>
      <c r="K41" s="283"/>
      <c r="L41" s="283"/>
      <c r="M41" s="283"/>
      <c r="N41" s="1" t="s">
        <v>342</v>
      </c>
      <c r="O41" s="1"/>
    </row>
    <row r="42" spans="1:15" ht="15" hidden="1" customHeight="1" x14ac:dyDescent="0.2">
      <c r="C42" s="175" t="s">
        <v>36</v>
      </c>
      <c r="D42" s="176"/>
      <c r="E42" s="165"/>
      <c r="F42" s="177"/>
      <c r="G42" s="177"/>
      <c r="H42" s="190"/>
      <c r="I42" s="176"/>
      <c r="J42" s="176"/>
      <c r="K42" s="176"/>
      <c r="L42" s="176"/>
      <c r="M42" s="176"/>
      <c r="N42" s="1" t="s">
        <v>342</v>
      </c>
      <c r="O42" s="1"/>
    </row>
    <row r="43" spans="1:15" ht="15" customHeight="1" thickBot="1" x14ac:dyDescent="0.25">
      <c r="A43" s="2" t="s">
        <v>372</v>
      </c>
      <c r="C43" s="182" t="s">
        <v>432</v>
      </c>
      <c r="D43" s="182"/>
      <c r="E43" s="206" t="str">
        <f>L8</f>
        <v>Entrance@Qassim - Najris Project</v>
      </c>
      <c r="F43" s="206"/>
      <c r="G43" s="206"/>
      <c r="H43" s="206"/>
      <c r="I43" s="206"/>
      <c r="J43" s="206"/>
      <c r="K43" s="206"/>
      <c r="L43" s="206"/>
      <c r="M43" s="206"/>
      <c r="N43" s="1"/>
      <c r="O43" s="1"/>
    </row>
    <row r="44" spans="1:15" ht="15" customHeight="1" x14ac:dyDescent="0.2">
      <c r="A44" s="2" t="s">
        <v>373</v>
      </c>
      <c r="C44" s="184"/>
      <c r="D44" s="185"/>
      <c r="E44" s="185"/>
      <c r="F44" s="185"/>
      <c r="G44" s="185"/>
      <c r="H44" s="185"/>
      <c r="I44" s="185"/>
      <c r="J44" s="185"/>
      <c r="K44" s="185"/>
      <c r="L44" s="185"/>
      <c r="M44" s="185"/>
      <c r="N44" s="1"/>
      <c r="O44" s="1"/>
    </row>
    <row r="45" spans="1:15" ht="15" customHeight="1" x14ac:dyDescent="0.2">
      <c r="C45" s="191" t="s">
        <v>50</v>
      </c>
      <c r="D45" s="198"/>
      <c r="E45" s="199"/>
      <c r="F45" s="198"/>
      <c r="G45" s="198"/>
      <c r="H45" s="198"/>
      <c r="I45" s="198"/>
      <c r="J45" s="198"/>
      <c r="K45" s="198"/>
      <c r="L45" s="198"/>
      <c r="M45" s="198"/>
      <c r="N45" s="1"/>
      <c r="O45" s="1"/>
    </row>
    <row r="46" spans="1:15" ht="15" hidden="1" customHeight="1" x14ac:dyDescent="0.2">
      <c r="C46" s="9" t="s">
        <v>42</v>
      </c>
      <c r="D46" s="9"/>
      <c r="E46" s="9"/>
      <c r="F46" s="9"/>
      <c r="G46" s="9"/>
      <c r="H46" s="9"/>
      <c r="I46" s="9"/>
      <c r="J46" s="9"/>
      <c r="K46" s="81"/>
      <c r="L46" s="9"/>
      <c r="M46" s="9"/>
      <c r="N46" s="1" t="s">
        <v>342</v>
      </c>
      <c r="O46" s="1"/>
    </row>
    <row r="47" spans="1:15" s="69" customFormat="1" ht="15" customHeight="1" x14ac:dyDescent="0.2">
      <c r="C47" s="200" t="s">
        <v>43</v>
      </c>
      <c r="D47" s="176"/>
      <c r="E47" s="201"/>
      <c r="F47" s="78">
        <f>SUM(F53:F62)</f>
        <v>1</v>
      </c>
      <c r="G47" s="202" t="s">
        <v>396</v>
      </c>
      <c r="H47" s="203"/>
      <c r="I47" s="203"/>
      <c r="J47" s="204"/>
      <c r="K47" s="78">
        <v>1</v>
      </c>
      <c r="L47" s="205"/>
      <c r="M47" s="176"/>
      <c r="N47" s="79"/>
      <c r="O47" s="79"/>
    </row>
    <row r="48" spans="1:15" s="69" customFormat="1" ht="17.25" hidden="1" customHeight="1" x14ac:dyDescent="0.2">
      <c r="C48" s="71" t="s">
        <v>44</v>
      </c>
      <c r="D48" s="71"/>
      <c r="E48" s="71"/>
      <c r="F48" s="71"/>
      <c r="G48" s="71"/>
      <c r="H48" s="71"/>
      <c r="I48" s="71"/>
      <c r="J48" s="71"/>
      <c r="K48" s="71"/>
      <c r="L48" s="71"/>
      <c r="M48" s="71"/>
      <c r="N48" s="79" t="s">
        <v>342</v>
      </c>
    </row>
    <row r="49" spans="3:52" s="69" customFormat="1" ht="15" customHeight="1" x14ac:dyDescent="0.2">
      <c r="C49" s="178" t="s">
        <v>398</v>
      </c>
      <c r="D49" s="178"/>
      <c r="E49" s="178"/>
      <c r="F49" s="178"/>
      <c r="G49" s="178"/>
      <c r="H49" s="178"/>
      <c r="I49" s="178"/>
      <c r="J49" s="178"/>
      <c r="K49" s="178"/>
      <c r="L49" s="178"/>
      <c r="M49" s="178"/>
      <c r="N49" s="79"/>
      <c r="O49" s="80">
        <f>SUM(O53:O61)</f>
        <v>1</v>
      </c>
      <c r="P49" s="2"/>
      <c r="Q49" s="2"/>
      <c r="R49" s="2" t="e">
        <f>MID(Q51,0,1)</f>
        <v>#VALUE!</v>
      </c>
      <c r="S49" s="2"/>
      <c r="T49" s="2"/>
      <c r="U49" s="2"/>
      <c r="V49" s="2"/>
      <c r="W49" s="2"/>
      <c r="X49" s="2"/>
      <c r="Y49" s="2"/>
      <c r="Z49" s="2"/>
      <c r="AA49" s="2"/>
      <c r="AB49" s="68">
        <v>48</v>
      </c>
      <c r="AC49" s="68">
        <v>5</v>
      </c>
      <c r="AD49" s="68">
        <v>63</v>
      </c>
      <c r="AE49" s="68">
        <v>50</v>
      </c>
      <c r="AF49" s="68">
        <v>63</v>
      </c>
    </row>
    <row r="50" spans="3:52" ht="15" customHeight="1" x14ac:dyDescent="0.2">
      <c r="C50" s="163" t="s">
        <v>46</v>
      </c>
      <c r="D50" s="195" t="s">
        <v>397</v>
      </c>
      <c r="E50" s="196"/>
      <c r="F50" s="197"/>
      <c r="G50" s="195" t="s">
        <v>47</v>
      </c>
      <c r="H50" s="196"/>
      <c r="I50" s="197"/>
      <c r="J50" s="209" t="s">
        <v>45</v>
      </c>
      <c r="K50" s="210"/>
      <c r="L50" s="210"/>
      <c r="M50" s="259"/>
      <c r="N50" s="1"/>
      <c r="AD50" s="2">
        <v>63</v>
      </c>
    </row>
    <row r="51" spans="3:52" ht="9" customHeight="1" x14ac:dyDescent="0.2">
      <c r="C51" s="207"/>
      <c r="D51" s="195" t="s">
        <v>49</v>
      </c>
      <c r="E51" s="197"/>
      <c r="F51" s="163" t="s">
        <v>48</v>
      </c>
      <c r="G51" s="195" t="s">
        <v>49</v>
      </c>
      <c r="H51" s="197"/>
      <c r="I51" s="163" t="s">
        <v>48</v>
      </c>
      <c r="J51" s="267"/>
      <c r="K51" s="268"/>
      <c r="L51" s="268"/>
      <c r="M51" s="269"/>
      <c r="N51" s="1"/>
      <c r="P51" s="61"/>
      <c r="Q51" s="72" t="str">
        <f>SUBSTITUTE(SUBSTITUTE(SUBSTITUTE(SUBSTITUTE(SUBSTITUTE(SUBSTITUTE(SUBSTITUTE(LOWER(D53)," ",""),"from",""),",","+"),"and","+"),"&amp;","+"),"++","+"),"to","-")&amp;"+"</f>
        <v>04+</v>
      </c>
      <c r="T51" s="72"/>
      <c r="U51" s="72" t="s">
        <v>394</v>
      </c>
      <c r="V51" s="72">
        <f>LEN(Q51)-LEN(SUBSTITUTE(Q51,"+",""))</f>
        <v>1</v>
      </c>
      <c r="W51" s="72"/>
      <c r="X51" s="72">
        <f>IF(RIGHT(Q51,2)="++",-1,0)</f>
        <v>0</v>
      </c>
      <c r="Y51" s="72"/>
      <c r="Z51" s="72">
        <f>LEN(Q51)-LEN(SUBSTITUTE(Q51,"-",""))+LEN(Q51)-LEN(SUBSTITUTE(LOWER(Q51),"to",""))</f>
        <v>0</v>
      </c>
      <c r="AA51" s="72"/>
    </row>
    <row r="52" spans="3:52" ht="9" customHeight="1" x14ac:dyDescent="0.2">
      <c r="C52" s="164"/>
      <c r="D52" s="195"/>
      <c r="E52" s="197"/>
      <c r="F52" s="164"/>
      <c r="G52" s="195"/>
      <c r="H52" s="197"/>
      <c r="I52" s="164"/>
      <c r="J52" s="211"/>
      <c r="K52" s="212"/>
      <c r="L52" s="212"/>
      <c r="M52" s="260"/>
      <c r="N52" s="1"/>
      <c r="P52" s="61" t="s">
        <v>385</v>
      </c>
      <c r="Q52" s="73">
        <f>LEN(Q51)</f>
        <v>3</v>
      </c>
      <c r="T52" s="72"/>
      <c r="U52" s="72"/>
      <c r="V52" s="72"/>
      <c r="W52" s="72"/>
      <c r="X52" s="72"/>
      <c r="Y52" s="72"/>
      <c r="Z52" s="72"/>
      <c r="AA52" s="72"/>
    </row>
    <row r="53" spans="3:52" ht="15" customHeight="1" x14ac:dyDescent="0.2">
      <c r="C53" s="58">
        <f>IF(D53="","",1)</f>
        <v>1</v>
      </c>
      <c r="D53" s="179" t="s">
        <v>458</v>
      </c>
      <c r="E53" s="180"/>
      <c r="F53" s="58">
        <f>IF(OR(D53="",D53=0),"",IF(Z51&gt;4,"Long Strength",Z58))</f>
        <v>1</v>
      </c>
      <c r="G53" s="160"/>
      <c r="H53" s="161"/>
      <c r="I53" s="58" t="str">
        <f>IF(OR(G53="",G53=0),"",IF(Z171&gt;4,"Long Strength",Z178))</f>
        <v/>
      </c>
      <c r="J53" s="270" t="str">
        <f t="shared" ref="J53:J62" si="0">IF(I53="","",I53&amp;" Bldg/s (No. "&amp;G53&amp;") identical to Bldg No "&amp;D53)</f>
        <v/>
      </c>
      <c r="K53" s="271"/>
      <c r="L53" s="271"/>
      <c r="M53" s="272"/>
      <c r="O53" s="26">
        <f>IF(COUNTA(D53)=0,0,1)</f>
        <v>1</v>
      </c>
      <c r="P53" s="74" t="s">
        <v>386</v>
      </c>
      <c r="Q53" s="66" t="e">
        <f>FIND("-",Q51)</f>
        <v>#VALUE!</v>
      </c>
      <c r="R53" s="2">
        <f>IF(ISERROR(IF(MID(Q51,Q53-2,1)="+",1,2)),1,2)</f>
        <v>1</v>
      </c>
      <c r="S53" s="26"/>
      <c r="T53" s="67" t="e">
        <f>REPLACE(Q51,Q53,1,"X")</f>
        <v>#VALUE!</v>
      </c>
      <c r="U53" s="74" t="s">
        <v>390</v>
      </c>
      <c r="V53" s="67" t="e">
        <f>FIND("+",RIGHT(T53,W53-Q53))+Q53</f>
        <v>#VALUE!</v>
      </c>
      <c r="W53" s="67" t="e">
        <f>LEN(T53)</f>
        <v>#VALUE!</v>
      </c>
      <c r="X53" s="67" t="e">
        <f>V53-Q53-1</f>
        <v>#VALUE!</v>
      </c>
      <c r="Y53" s="67" t="e">
        <f>MID(Q51,V53-X53,X53)-MID(Q51,Q53-R53,R53)+1</f>
        <v>#VALUE!</v>
      </c>
      <c r="Z53" s="67">
        <f>IF(ISERROR(Y53),0,Y53)</f>
        <v>0</v>
      </c>
      <c r="AA53" s="67">
        <f>IF(OR(Z53="",Z53=0),0,1)</f>
        <v>0</v>
      </c>
    </row>
    <row r="54" spans="3:52" ht="15" customHeight="1" x14ac:dyDescent="0.2">
      <c r="C54" s="58" t="str">
        <f>IF(O54&gt;0,1+C53,"")</f>
        <v/>
      </c>
      <c r="D54" s="179"/>
      <c r="E54" s="180"/>
      <c r="F54" s="58" t="str">
        <f>IF(OR(D54="",D54=0),"",IF(Z60&gt;4,"Long Strength",Z70))</f>
        <v/>
      </c>
      <c r="G54" s="160"/>
      <c r="H54" s="161"/>
      <c r="I54" s="58" t="str">
        <f>IF(OR(G54="",G54=0),"",IF(Z180&gt;4,"Long Strength",Z187))</f>
        <v/>
      </c>
      <c r="J54" s="270" t="str">
        <f t="shared" si="0"/>
        <v/>
      </c>
      <c r="K54" s="271"/>
      <c r="L54" s="271"/>
      <c r="M54" s="272"/>
      <c r="O54" s="26">
        <f>IF(COUNTA(D54)=0,0,1)</f>
        <v>0</v>
      </c>
      <c r="P54" s="74" t="s">
        <v>387</v>
      </c>
      <c r="Q54" s="66" t="e">
        <f>FIND("-",T53)</f>
        <v>#VALUE!</v>
      </c>
      <c r="R54" s="2" t="e">
        <f>IF(MID(Q51,Q54-2,1)="+",1,2)</f>
        <v>#VALUE!</v>
      </c>
      <c r="T54" s="67" t="e">
        <f>REPLACE(T53,Q54,1,"X")</f>
        <v>#VALUE!</v>
      </c>
      <c r="U54" s="74" t="s">
        <v>391</v>
      </c>
      <c r="V54" s="67" t="e">
        <f>FIND("+",RIGHT(T54,W54-Q54))+Q54</f>
        <v>#VALUE!</v>
      </c>
      <c r="W54" s="67" t="e">
        <f>LEN(T54)</f>
        <v>#VALUE!</v>
      </c>
      <c r="X54" s="67" t="e">
        <f>V54-Q54-1</f>
        <v>#VALUE!</v>
      </c>
      <c r="Y54" s="67" t="e">
        <f>MID(T53,V54-X54,X54)-MID(T53,Q54-R54,R54)+1</f>
        <v>#VALUE!</v>
      </c>
      <c r="Z54" s="67">
        <f>IF(ISERROR(Y54),0,Y54)</f>
        <v>0</v>
      </c>
      <c r="AA54" s="67">
        <f>IF(OR(Z54="",Z54=0),0,1)</f>
        <v>0</v>
      </c>
      <c r="AE54" s="2">
        <f>AB49+AC49+O49</f>
        <v>54</v>
      </c>
      <c r="AF54" s="2">
        <f>AD49</f>
        <v>63</v>
      </c>
    </row>
    <row r="55" spans="3:52" ht="15" hidden="1" customHeight="1" x14ac:dyDescent="0.2">
      <c r="C55" s="58" t="str">
        <f>IF(O55&gt;0,1+C54,"")</f>
        <v/>
      </c>
      <c r="D55" s="179"/>
      <c r="E55" s="180"/>
      <c r="F55" s="58" t="str">
        <f>IF(OR(D55="",D55=0),"",IF(Z82&gt;4,"Long Strength",Z89))</f>
        <v/>
      </c>
      <c r="G55" s="160"/>
      <c r="H55" s="161"/>
      <c r="I55" s="58" t="str">
        <f>IF(OR(G55="",G55=0),"",IF(Z189&gt;4,"Long Strength",Z196))</f>
        <v/>
      </c>
      <c r="J55" s="270" t="str">
        <f t="shared" si="0"/>
        <v/>
      </c>
      <c r="K55" s="271"/>
      <c r="L55" s="271"/>
      <c r="M55" s="272"/>
      <c r="O55" s="26">
        <f t="shared" ref="O55:O63" si="1">IF(COUNTA(D55)=0,0,1)</f>
        <v>0</v>
      </c>
      <c r="P55" s="74" t="s">
        <v>388</v>
      </c>
      <c r="Q55" s="66" t="e">
        <f>FIND("-",T54)</f>
        <v>#VALUE!</v>
      </c>
      <c r="R55" s="2" t="e">
        <f>IF(MID(Q52,Q55-2,1)="+",1,2)</f>
        <v>#VALUE!</v>
      </c>
      <c r="T55" s="67" t="e">
        <f>REPLACE(T54,Q55,1,"X")</f>
        <v>#VALUE!</v>
      </c>
      <c r="U55" s="74" t="s">
        <v>392</v>
      </c>
      <c r="V55" s="67" t="e">
        <f>FIND("+",RIGHT(T55,W55-Q55))+Q55</f>
        <v>#VALUE!</v>
      </c>
      <c r="W55" s="67" t="e">
        <f>LEN(T55)</f>
        <v>#VALUE!</v>
      </c>
      <c r="X55" s="67" t="e">
        <f>V55-Q55-1</f>
        <v>#VALUE!</v>
      </c>
      <c r="Y55" s="67" t="e">
        <f>MID(T54,V55-X55,X55)-MID(T54,Q55-R55,R55)+1</f>
        <v>#VALUE!</v>
      </c>
      <c r="Z55" s="67">
        <f>IF(ISERROR(Y55),0,Y55)</f>
        <v>0</v>
      </c>
      <c r="AA55" s="67">
        <f>IF(OR(Z55="",Z55=0),0,1)</f>
        <v>0</v>
      </c>
    </row>
    <row r="56" spans="3:52" ht="15" hidden="1" customHeight="1" x14ac:dyDescent="0.2">
      <c r="C56" s="58" t="str">
        <f t="shared" ref="C56:C62" si="2">IF(O56&gt;0,1+C55,"")</f>
        <v/>
      </c>
      <c r="D56" s="179"/>
      <c r="E56" s="180"/>
      <c r="F56" s="58" t="str">
        <f>IF(OR(D56="",D56=0),"",IF(Z91&gt;4,"Long Strength",Z101))</f>
        <v/>
      </c>
      <c r="G56" s="160"/>
      <c r="H56" s="161"/>
      <c r="I56" s="58" t="str">
        <f>IF(OR(G56="",G56=0),"",IF(Z198&gt;4,"Long Strength",Z205))</f>
        <v/>
      </c>
      <c r="J56" s="270" t="str">
        <f t="shared" si="0"/>
        <v/>
      </c>
      <c r="K56" s="271"/>
      <c r="L56" s="271"/>
      <c r="M56" s="272"/>
      <c r="O56" s="26">
        <f t="shared" si="1"/>
        <v>0</v>
      </c>
      <c r="P56" s="74" t="s">
        <v>389</v>
      </c>
      <c r="Q56" s="66" t="e">
        <f>FIND("-",T55)</f>
        <v>#VALUE!</v>
      </c>
      <c r="R56" s="2" t="e">
        <f>IF(MID(Q53,Q56-2,1)="+",1,2)</f>
        <v>#VALUE!</v>
      </c>
      <c r="T56" s="67" t="e">
        <f>REPLACE(T55,Q56,1,"X")</f>
        <v>#VALUE!</v>
      </c>
      <c r="U56" s="74" t="s">
        <v>393</v>
      </c>
      <c r="V56" s="67" t="e">
        <f>FIND("+",RIGHT(T56,W56-Q56))+Q56</f>
        <v>#VALUE!</v>
      </c>
      <c r="W56" s="67" t="e">
        <f>LEN(T56)</f>
        <v>#VALUE!</v>
      </c>
      <c r="X56" s="67" t="e">
        <f>V56-Q56-1</f>
        <v>#VALUE!</v>
      </c>
      <c r="Y56" s="67" t="e">
        <f>MID(T55,V56-X56,X56)-MID(T55,Q56-R56,R56)+1</f>
        <v>#VALUE!</v>
      </c>
      <c r="Z56" s="67">
        <f>IF(ISERROR(Y56),0,Y56)</f>
        <v>0</v>
      </c>
      <c r="AA56" s="67">
        <f>IF(OR(Z56="",Z56=0),0,1)</f>
        <v>0</v>
      </c>
    </row>
    <row r="57" spans="3:52" ht="15" hidden="1" customHeight="1" x14ac:dyDescent="0.2">
      <c r="C57" s="58" t="str">
        <f t="shared" si="2"/>
        <v/>
      </c>
      <c r="D57" s="179"/>
      <c r="E57" s="180"/>
      <c r="F57" s="58" t="str">
        <f>IF(OR(D57="",D57=0),"",IF(Z102&gt;4,"Long Strength",Z111))</f>
        <v/>
      </c>
      <c r="G57" s="160"/>
      <c r="H57" s="161"/>
      <c r="I57" s="58" t="str">
        <f>IF(OR(G57="",G57=0),"",IF(Z207&gt;4,"Long Strength",Z214))</f>
        <v/>
      </c>
      <c r="J57" s="172" t="str">
        <f t="shared" si="0"/>
        <v/>
      </c>
      <c r="K57" s="173"/>
      <c r="L57" s="173"/>
      <c r="M57" s="174"/>
      <c r="O57" s="26">
        <f t="shared" si="1"/>
        <v>0</v>
      </c>
      <c r="P57" s="74"/>
      <c r="Q57" s="67"/>
      <c r="T57" s="67"/>
      <c r="U57" s="67"/>
      <c r="V57" s="67"/>
      <c r="W57" s="67"/>
      <c r="X57" s="67" t="s">
        <v>395</v>
      </c>
      <c r="Y57" s="67" t="e">
        <f>Y53+Y54+Y55+Y56</f>
        <v>#VALUE!</v>
      </c>
      <c r="Z57" s="75">
        <f>Z53+Z54+Z55+Z56</f>
        <v>0</v>
      </c>
      <c r="AA57" s="75">
        <f>AA53+AA54+AA55+AA56</f>
        <v>0</v>
      </c>
    </row>
    <row r="58" spans="3:52" ht="15" hidden="1" customHeight="1" x14ac:dyDescent="0.2">
      <c r="C58" s="58" t="str">
        <f t="shared" si="2"/>
        <v/>
      </c>
      <c r="D58" s="179"/>
      <c r="E58" s="180"/>
      <c r="F58" s="58" t="str">
        <f>IF(OR(D58="",D58=0),"",IF(Z113&gt;4,"Long Strength",Z120))</f>
        <v/>
      </c>
      <c r="G58" s="160"/>
      <c r="H58" s="161"/>
      <c r="I58" s="58" t="str">
        <f>IF(OR(G58="",G58=0),"",IF(Z216&gt;4,"Long Strength",Z223))</f>
        <v/>
      </c>
      <c r="J58" s="172" t="str">
        <f t="shared" si="0"/>
        <v/>
      </c>
      <c r="K58" s="173"/>
      <c r="L58" s="173"/>
      <c r="M58" s="174"/>
      <c r="O58" s="26">
        <f t="shared" si="1"/>
        <v>0</v>
      </c>
      <c r="P58" s="74"/>
      <c r="Q58" s="67"/>
      <c r="T58" s="67"/>
      <c r="U58" s="67"/>
      <c r="V58" s="67"/>
      <c r="W58" s="67"/>
      <c r="X58" s="67"/>
      <c r="Y58" s="67"/>
      <c r="Z58" s="67">
        <f>Z57+V51-AA57+X51</f>
        <v>1</v>
      </c>
      <c r="AA58" s="67"/>
    </row>
    <row r="59" spans="3:52" ht="15" hidden="1" customHeight="1" x14ac:dyDescent="0.2">
      <c r="C59" s="58" t="str">
        <f t="shared" si="2"/>
        <v/>
      </c>
      <c r="D59" s="179"/>
      <c r="E59" s="180"/>
      <c r="F59" s="58" t="str">
        <f>IF(OR(D59="",D59=0),"",IF(Z123&gt;4,"Long Strength",Z137))</f>
        <v/>
      </c>
      <c r="G59" s="160"/>
      <c r="H59" s="161"/>
      <c r="I59" s="58" t="str">
        <f>IF(OR(G59="",G59=0),"",IF(Z225&gt;4,"Long Strength",Z232))</f>
        <v/>
      </c>
      <c r="J59" s="172" t="str">
        <f t="shared" si="0"/>
        <v/>
      </c>
      <c r="K59" s="173"/>
      <c r="L59" s="173"/>
      <c r="M59" s="174"/>
      <c r="O59" s="26">
        <f t="shared" si="1"/>
        <v>0</v>
      </c>
    </row>
    <row r="60" spans="3:52" ht="15" hidden="1" customHeight="1" x14ac:dyDescent="0.2">
      <c r="C60" s="58" t="str">
        <f t="shared" si="2"/>
        <v/>
      </c>
      <c r="D60" s="179"/>
      <c r="E60" s="180"/>
      <c r="F60" s="58" t="str">
        <f>IF(OR(D60="",D60=0),"",IF(Z139&gt;4,"Long Strength",Z146))</f>
        <v/>
      </c>
      <c r="G60" s="160"/>
      <c r="H60" s="161"/>
      <c r="I60" s="58" t="str">
        <f>IF(OR(G60="",G60=0),"",IF(Z234&gt;4,"Long Strength",Z241))</f>
        <v/>
      </c>
      <c r="J60" s="172" t="str">
        <f t="shared" si="0"/>
        <v/>
      </c>
      <c r="K60" s="173"/>
      <c r="L60" s="173"/>
      <c r="M60" s="174"/>
      <c r="O60" s="26">
        <f t="shared" si="1"/>
        <v>0</v>
      </c>
      <c r="P60" s="61"/>
      <c r="Q60" s="72" t="str">
        <f>SUBSTITUTE(SUBSTITUTE(SUBSTITUTE(SUBSTITUTE(SUBSTITUTE(SUBSTITUTE(SUBSTITUTE(LOWER(D54)," ",""),"from",""),",","+"),"and","+"),"&amp;","+"),"++","+"),"to","-")&amp;"+"</f>
        <v>+</v>
      </c>
      <c r="T60" s="72"/>
      <c r="U60" s="72" t="s">
        <v>394</v>
      </c>
      <c r="V60" s="72">
        <f>LEN(Q60)-LEN(SUBSTITUTE(Q60,"+",""))</f>
        <v>1</v>
      </c>
      <c r="W60" s="72"/>
      <c r="X60" s="72">
        <f>IF(RIGHT(Q60,2)="++",-1,0)</f>
        <v>0</v>
      </c>
      <c r="Y60" s="72"/>
      <c r="Z60" s="72">
        <f>LEN(Q60)-LEN(SUBSTITUTE(Q60,"-",""))+LEN(Q60)-LEN(SUBSTITUTE(LOWER(Q60),"to",""))</f>
        <v>0</v>
      </c>
      <c r="AA60" s="72"/>
    </row>
    <row r="61" spans="3:52" ht="15" hidden="1" customHeight="1" x14ac:dyDescent="0.2">
      <c r="C61" s="58" t="str">
        <f t="shared" si="2"/>
        <v/>
      </c>
      <c r="D61" s="179"/>
      <c r="E61" s="180"/>
      <c r="F61" s="58" t="str">
        <f>IF(OR(D61="",D61=0),"",IF(Z148&gt;4,"Long Strength",Z155))</f>
        <v/>
      </c>
      <c r="G61" s="160"/>
      <c r="H61" s="161"/>
      <c r="I61" s="58" t="str">
        <f>IF(OR(G61="",G61=0),"",IF(Z243&gt;4,"Long Strength",Z250))</f>
        <v/>
      </c>
      <c r="J61" s="172" t="str">
        <f t="shared" si="0"/>
        <v/>
      </c>
      <c r="K61" s="173"/>
      <c r="L61" s="173"/>
      <c r="M61" s="174"/>
      <c r="N61" s="1"/>
      <c r="O61" s="26">
        <f t="shared" si="1"/>
        <v>0</v>
      </c>
      <c r="P61" s="61"/>
      <c r="Q61" s="72"/>
      <c r="T61" s="72"/>
      <c r="U61" s="72"/>
      <c r="V61" s="72"/>
      <c r="W61" s="72"/>
      <c r="X61" s="72"/>
      <c r="Y61" s="72"/>
      <c r="Z61" s="72"/>
      <c r="AA61" s="72"/>
      <c r="AW61" s="76"/>
      <c r="AX61" s="77"/>
      <c r="AZ61" s="76"/>
    </row>
    <row r="62" spans="3:52" ht="15" hidden="1" customHeight="1" x14ac:dyDescent="0.2">
      <c r="C62" s="58" t="str">
        <f t="shared" si="2"/>
        <v/>
      </c>
      <c r="D62" s="179"/>
      <c r="E62" s="180"/>
      <c r="F62" s="58" t="str">
        <f>IF(OR(D62="",D62=0),"",IF(Z157&gt;4,"Long Strength",Z164))</f>
        <v/>
      </c>
      <c r="G62" s="160"/>
      <c r="H62" s="161"/>
      <c r="I62" s="58" t="str">
        <f>IF(OR(G62="",G62=0),"",IF(Z252&gt;4,"Long Strength",Z259))</f>
        <v/>
      </c>
      <c r="J62" s="172" t="str">
        <f t="shared" si="0"/>
        <v/>
      </c>
      <c r="K62" s="173"/>
      <c r="L62" s="173"/>
      <c r="M62" s="174"/>
      <c r="N62" s="1"/>
      <c r="O62" s="26">
        <f t="shared" si="1"/>
        <v>0</v>
      </c>
      <c r="P62" s="61" t="s">
        <v>385</v>
      </c>
      <c r="Q62" s="73">
        <f>LEN(Q60)</f>
        <v>1</v>
      </c>
      <c r="T62" s="72"/>
      <c r="U62" s="72"/>
      <c r="V62" s="72"/>
      <c r="W62" s="72"/>
      <c r="X62" s="72"/>
      <c r="Y62" s="72"/>
      <c r="Z62" s="72"/>
      <c r="AA62" s="72"/>
    </row>
    <row r="63" spans="3:52" ht="15" hidden="1" customHeight="1" x14ac:dyDescent="0.2">
      <c r="C63" s="16"/>
      <c r="D63" s="16"/>
      <c r="E63" s="16"/>
      <c r="F63" s="16"/>
      <c r="G63" s="16"/>
      <c r="H63" s="16"/>
      <c r="I63" s="16"/>
      <c r="J63" s="16"/>
      <c r="K63" s="16"/>
      <c r="L63" s="16"/>
      <c r="M63" s="16"/>
      <c r="N63" s="1"/>
      <c r="O63" s="26">
        <f t="shared" si="1"/>
        <v>0</v>
      </c>
      <c r="P63" s="61"/>
      <c r="Q63" s="73"/>
      <c r="T63" s="72"/>
      <c r="U63" s="72"/>
      <c r="V63" s="72"/>
      <c r="W63" s="72"/>
      <c r="X63" s="72"/>
      <c r="Y63" s="72"/>
      <c r="Z63" s="72"/>
      <c r="AA63" s="72"/>
    </row>
    <row r="64" spans="3:52" ht="15" hidden="1" customHeight="1" x14ac:dyDescent="0.2">
      <c r="C64" s="16"/>
      <c r="D64" s="16"/>
      <c r="E64" s="16"/>
      <c r="F64" s="16"/>
      <c r="G64" s="16"/>
      <c r="H64" s="16"/>
      <c r="I64" s="16"/>
      <c r="J64" s="17"/>
      <c r="K64" s="17"/>
      <c r="L64" s="17"/>
      <c r="M64" s="17"/>
      <c r="N64" s="1"/>
      <c r="O64" s="70"/>
      <c r="P64" s="74" t="s">
        <v>386</v>
      </c>
      <c r="Q64" s="66" t="e">
        <f>FIND("-",Q60)</f>
        <v>#VALUE!</v>
      </c>
      <c r="R64" s="2">
        <f>IF(ISERROR(IF(MID(Q60,Q64-2,1)="+",1,2)),1,2)</f>
        <v>1</v>
      </c>
      <c r="T64" s="67" t="e">
        <f>REPLACE(Q60,Q64,1,"X")</f>
        <v>#VALUE!</v>
      </c>
      <c r="U64" s="74" t="s">
        <v>390</v>
      </c>
      <c r="V64" s="67" t="e">
        <f>FIND("+",RIGHT(T64,W64-Q64))+Q64</f>
        <v>#VALUE!</v>
      </c>
      <c r="W64" s="67" t="e">
        <f>LEN(T64)</f>
        <v>#VALUE!</v>
      </c>
      <c r="X64" s="67" t="e">
        <f>V64-Q64-1</f>
        <v>#VALUE!</v>
      </c>
      <c r="Y64" s="67" t="e">
        <f>MID(Q60,V64-X64,X64)-MID(Q60,Q64-R64,R64)+1</f>
        <v>#VALUE!</v>
      </c>
      <c r="Z64" s="67">
        <f>IF(ISERROR(Y64),0,Y64)</f>
        <v>0</v>
      </c>
      <c r="AA64" s="67">
        <f>IF(OR(Z64="",Z64=0),0,1)</f>
        <v>0</v>
      </c>
    </row>
    <row r="65" spans="3:32" ht="15" customHeight="1" thickBot="1" x14ac:dyDescent="0.25">
      <c r="C65" s="284"/>
      <c r="D65" s="284"/>
      <c r="E65" s="284"/>
      <c r="F65" s="284"/>
      <c r="G65" s="284"/>
      <c r="H65" s="284"/>
      <c r="I65" s="284"/>
      <c r="J65" s="284"/>
      <c r="K65" s="284"/>
      <c r="L65" s="284"/>
      <c r="M65" s="284"/>
      <c r="N65" s="1"/>
      <c r="O65" s="70"/>
      <c r="P65" s="74" t="s">
        <v>387</v>
      </c>
      <c r="Q65" s="66" t="e">
        <f>FIND("-",T64)</f>
        <v>#VALUE!</v>
      </c>
      <c r="R65" s="2" t="e">
        <f>IF(MID(Q60,Q65-2,1)="+",1,2)</f>
        <v>#VALUE!</v>
      </c>
      <c r="T65" s="67" t="e">
        <f>REPLACE(T64,Q65,1,"X")</f>
        <v>#VALUE!</v>
      </c>
      <c r="U65" s="74" t="s">
        <v>391</v>
      </c>
      <c r="V65" s="67" t="e">
        <f>FIND("+",RIGHT(T65,W65-Q65))+Q65</f>
        <v>#VALUE!</v>
      </c>
      <c r="W65" s="67" t="e">
        <f>LEN(T65)</f>
        <v>#VALUE!</v>
      </c>
      <c r="X65" s="67" t="e">
        <f>V65-Q65-1</f>
        <v>#VALUE!</v>
      </c>
      <c r="Y65" s="67" t="e">
        <f>MID(T64,V65-X65,X65)-MID(T64,Q65-R65,R65)+1</f>
        <v>#VALUE!</v>
      </c>
      <c r="Z65" s="67">
        <f>IF(ISERROR(Y65),0,Y65)</f>
        <v>0</v>
      </c>
      <c r="AA65" s="67">
        <f>IF(OR(Z65="",Z65=0),0,1)</f>
        <v>0</v>
      </c>
    </row>
    <row r="66" spans="3:32" ht="15" customHeight="1" x14ac:dyDescent="0.2">
      <c r="C66" s="208"/>
      <c r="D66" s="208"/>
      <c r="E66" s="208"/>
      <c r="F66" s="208"/>
      <c r="G66" s="208"/>
      <c r="H66" s="208"/>
      <c r="I66" s="208"/>
      <c r="J66" s="208"/>
      <c r="K66" s="208"/>
      <c r="L66" s="208"/>
      <c r="M66" s="208"/>
      <c r="N66" s="1"/>
      <c r="P66" s="74" t="s">
        <v>388</v>
      </c>
      <c r="Q66" s="66" t="e">
        <f>FIND("-",T65)</f>
        <v>#VALUE!</v>
      </c>
      <c r="R66" s="2" t="e">
        <f>IF(MID(Q62,Q66-2,1)="+",1,2)</f>
        <v>#VALUE!</v>
      </c>
      <c r="T66" s="67" t="e">
        <f>REPLACE(T65,Q66,1,"X")</f>
        <v>#VALUE!</v>
      </c>
      <c r="U66" s="74" t="s">
        <v>392</v>
      </c>
      <c r="V66" s="67" t="e">
        <f>FIND("+",RIGHT(T66,W66-Q66))+Q66</f>
        <v>#VALUE!</v>
      </c>
      <c r="W66" s="67" t="e">
        <f>LEN(T66)</f>
        <v>#VALUE!</v>
      </c>
      <c r="X66" s="67" t="e">
        <f>V66-Q66-1</f>
        <v>#VALUE!</v>
      </c>
      <c r="Y66" s="67" t="e">
        <f>MID(T65,V66-X66,X66)-MID(T65,Q66-R66,R66)+1</f>
        <v>#VALUE!</v>
      </c>
      <c r="Z66" s="67">
        <f>IF(ISERROR(Y66),0,Y66)</f>
        <v>0</v>
      </c>
      <c r="AA66" s="67">
        <f>IF(OR(Z66="",Z66=0),0,1)</f>
        <v>0</v>
      </c>
    </row>
    <row r="67" spans="3:32" ht="15" customHeight="1" x14ac:dyDescent="0.2">
      <c r="C67" s="147" t="s">
        <v>55</v>
      </c>
      <c r="D67" s="148"/>
      <c r="E67" s="148"/>
      <c r="F67" s="148"/>
      <c r="G67" s="148"/>
      <c r="H67" s="148"/>
      <c r="I67" s="148"/>
      <c r="J67" s="148"/>
      <c r="K67" s="148"/>
      <c r="L67" s="148"/>
      <c r="M67" s="148"/>
      <c r="N67" s="1"/>
      <c r="O67" s="80">
        <f>SUM(O70:O78)</f>
        <v>1</v>
      </c>
      <c r="P67" s="74"/>
      <c r="Q67" s="66"/>
      <c r="T67" s="67"/>
      <c r="U67" s="74"/>
      <c r="V67" s="67"/>
      <c r="W67" s="67"/>
      <c r="X67" s="67"/>
      <c r="Y67" s="67"/>
      <c r="Z67" s="67"/>
      <c r="AA67" s="67"/>
      <c r="AB67" s="68">
        <v>67</v>
      </c>
      <c r="AC67" s="68">
        <v>4</v>
      </c>
      <c r="AD67" s="68">
        <v>79</v>
      </c>
      <c r="AE67" s="68">
        <v>66</v>
      </c>
      <c r="AF67" s="68">
        <v>81</v>
      </c>
    </row>
    <row r="68" spans="3:32" ht="9" customHeight="1" x14ac:dyDescent="0.2">
      <c r="C68" s="163" t="s">
        <v>46</v>
      </c>
      <c r="D68" s="163" t="s">
        <v>51</v>
      </c>
      <c r="E68" s="209" t="s">
        <v>399</v>
      </c>
      <c r="F68" s="210"/>
      <c r="G68" s="209" t="s">
        <v>52</v>
      </c>
      <c r="H68" s="210"/>
      <c r="I68" s="210"/>
      <c r="J68" s="195" t="s">
        <v>45</v>
      </c>
      <c r="K68" s="196"/>
      <c r="L68" s="196"/>
      <c r="M68" s="197"/>
      <c r="N68" s="1"/>
      <c r="P68" s="74" t="s">
        <v>389</v>
      </c>
      <c r="Q68" s="66" t="e">
        <f>FIND("-",T66)</f>
        <v>#VALUE!</v>
      </c>
      <c r="R68" s="2" t="e">
        <f>IF(MID(Q64,Q68-2,1)="+",1,2)</f>
        <v>#VALUE!</v>
      </c>
      <c r="T68" s="67" t="e">
        <f>REPLACE(T66,Q68,1,"X")</f>
        <v>#VALUE!</v>
      </c>
      <c r="U68" s="74" t="s">
        <v>393</v>
      </c>
      <c r="V68" s="67" t="e">
        <f>FIND("+",RIGHT(T68,W68-Q68))+Q68</f>
        <v>#VALUE!</v>
      </c>
      <c r="W68" s="67" t="e">
        <f>LEN(T68)</f>
        <v>#VALUE!</v>
      </c>
      <c r="X68" s="67" t="e">
        <f>V68-Q68-1</f>
        <v>#VALUE!</v>
      </c>
      <c r="Y68" s="67" t="e">
        <f>MID(T66,V68-X68,X68)-MID(T66,Q68-R68,R68)+1</f>
        <v>#VALUE!</v>
      </c>
      <c r="Z68" s="67">
        <f>IF(ISERROR(Y68),0,Y68)</f>
        <v>0</v>
      </c>
      <c r="AA68" s="67">
        <f>IF(OR(Z68="",Z68=0),0,1)</f>
        <v>0</v>
      </c>
      <c r="AB68" s="68"/>
      <c r="AC68" s="68"/>
      <c r="AD68" s="68"/>
      <c r="AE68" s="68"/>
      <c r="AF68" s="68"/>
    </row>
    <row r="69" spans="3:32" ht="9" customHeight="1" x14ac:dyDescent="0.2">
      <c r="C69" s="164"/>
      <c r="D69" s="164"/>
      <c r="E69" s="211"/>
      <c r="F69" s="212"/>
      <c r="G69" s="211"/>
      <c r="H69" s="212"/>
      <c r="I69" s="212"/>
      <c r="J69" s="195"/>
      <c r="K69" s="196"/>
      <c r="L69" s="196"/>
      <c r="M69" s="197"/>
      <c r="N69" s="1"/>
      <c r="P69" s="74"/>
      <c r="Q69" s="67"/>
      <c r="T69" s="67"/>
      <c r="U69" s="67"/>
      <c r="V69" s="67"/>
      <c r="W69" s="67"/>
      <c r="X69" s="67" t="s">
        <v>395</v>
      </c>
      <c r="Y69" s="67" t="e">
        <f>Y64+Y65+Y66+Y68</f>
        <v>#VALUE!</v>
      </c>
      <c r="Z69" s="75">
        <f>Z64+Z65+Z66+Z68</f>
        <v>0</v>
      </c>
      <c r="AA69" s="75">
        <f>AA64+AA65+AA66+AA68</f>
        <v>0</v>
      </c>
      <c r="AD69" s="2">
        <v>63</v>
      </c>
    </row>
    <row r="70" spans="3:32" ht="15" customHeight="1" x14ac:dyDescent="0.2">
      <c r="C70" s="58">
        <f>IF(D70="","",1)</f>
        <v>1</v>
      </c>
      <c r="D70" s="140" t="s">
        <v>459</v>
      </c>
      <c r="E70" s="192"/>
      <c r="F70" s="193"/>
      <c r="G70" s="141"/>
      <c r="H70" s="142"/>
      <c r="I70" s="142"/>
      <c r="J70" s="141"/>
      <c r="K70" s="142"/>
      <c r="L70" s="142"/>
      <c r="M70" s="143"/>
      <c r="N70" s="1"/>
      <c r="O70" s="26">
        <f>IF(COUNTA(D70)=0,0,1)</f>
        <v>1</v>
      </c>
      <c r="P70" s="74"/>
      <c r="Q70" s="67"/>
      <c r="T70" s="67"/>
      <c r="U70" s="67"/>
      <c r="V70" s="67"/>
      <c r="W70" s="67"/>
      <c r="X70" s="67"/>
      <c r="Y70" s="67"/>
      <c r="Z70" s="67">
        <f>Z69+V60-AA69+X60</f>
        <v>1</v>
      </c>
      <c r="AA70" s="67"/>
    </row>
    <row r="71" spans="3:32" ht="15" hidden="1" customHeight="1" x14ac:dyDescent="0.2">
      <c r="C71" s="58" t="str">
        <f>IF(O71&gt;0,1+C70,"")</f>
        <v/>
      </c>
      <c r="D71" s="110"/>
      <c r="E71" s="160"/>
      <c r="F71" s="161"/>
      <c r="G71" s="141"/>
      <c r="H71" s="142"/>
      <c r="I71" s="142"/>
      <c r="J71" s="141"/>
      <c r="K71" s="142"/>
      <c r="L71" s="142"/>
      <c r="M71" s="143"/>
      <c r="N71" s="1"/>
      <c r="O71" s="26">
        <f>IF(COUNTA(D71)=0,0,1)</f>
        <v>0</v>
      </c>
      <c r="P71" s="74"/>
      <c r="Q71" s="67"/>
      <c r="T71" s="67"/>
      <c r="U71" s="67"/>
      <c r="V71" s="67"/>
      <c r="W71" s="67"/>
      <c r="X71" s="67"/>
      <c r="Y71" s="67"/>
      <c r="Z71" s="67"/>
      <c r="AA71" s="67"/>
    </row>
    <row r="72" spans="3:32" ht="15" hidden="1" customHeight="1" x14ac:dyDescent="0.2">
      <c r="C72" s="58" t="str">
        <f>IF(O72&gt;0,1+C71,"")</f>
        <v/>
      </c>
      <c r="D72" s="111"/>
      <c r="E72" s="160"/>
      <c r="F72" s="161"/>
      <c r="G72" s="141"/>
      <c r="H72" s="142"/>
      <c r="I72" s="142"/>
      <c r="J72" s="141"/>
      <c r="K72" s="142"/>
      <c r="L72" s="142"/>
      <c r="M72" s="143"/>
      <c r="N72" s="1"/>
      <c r="O72" s="26">
        <f>IF(COUNTA(D72)=0,0,1)</f>
        <v>0</v>
      </c>
      <c r="P72" s="74"/>
      <c r="Q72" s="67"/>
      <c r="T72" s="67"/>
      <c r="U72" s="67"/>
      <c r="V72" s="67"/>
      <c r="W72" s="67"/>
      <c r="X72" s="67"/>
      <c r="Y72" s="67"/>
      <c r="Z72" s="67"/>
      <c r="AA72" s="67"/>
    </row>
    <row r="73" spans="3:32" ht="15" hidden="1" customHeight="1" x14ac:dyDescent="0.2">
      <c r="C73" s="58" t="str">
        <f t="shared" ref="C73:C79" si="3">IF(O73&gt;0,1+C72,"")</f>
        <v/>
      </c>
      <c r="D73" s="111"/>
      <c r="E73" s="160"/>
      <c r="F73" s="161"/>
      <c r="G73" s="141"/>
      <c r="H73" s="142"/>
      <c r="I73" s="142"/>
      <c r="J73" s="141"/>
      <c r="K73" s="142"/>
      <c r="L73" s="142"/>
      <c r="M73" s="143"/>
      <c r="N73" s="1"/>
      <c r="O73" s="26">
        <f t="shared" ref="O73:O79" si="4">IF(COUNTA(D73)=0,0,1)</f>
        <v>0</v>
      </c>
      <c r="P73" s="74"/>
      <c r="Q73" s="67"/>
      <c r="T73" s="67"/>
      <c r="U73" s="67"/>
      <c r="V73" s="67"/>
      <c r="W73" s="67"/>
      <c r="X73" s="67"/>
      <c r="Y73" s="67"/>
      <c r="Z73" s="67"/>
      <c r="AA73" s="67"/>
      <c r="AE73" s="2">
        <f>AB67+AC67+O66</f>
        <v>71</v>
      </c>
      <c r="AF73" s="2">
        <v>80</v>
      </c>
    </row>
    <row r="74" spans="3:32" ht="15" hidden="1" customHeight="1" x14ac:dyDescent="0.2">
      <c r="C74" s="58" t="str">
        <f t="shared" si="3"/>
        <v/>
      </c>
      <c r="D74" s="111"/>
      <c r="E74" s="160"/>
      <c r="F74" s="161"/>
      <c r="G74" s="141"/>
      <c r="H74" s="142"/>
      <c r="I74" s="142"/>
      <c r="J74" s="141"/>
      <c r="K74" s="142"/>
      <c r="L74" s="142"/>
      <c r="M74" s="143"/>
      <c r="N74" s="1"/>
      <c r="O74" s="26">
        <f t="shared" si="4"/>
        <v>0</v>
      </c>
      <c r="P74" s="74"/>
      <c r="Q74" s="67"/>
      <c r="T74" s="67"/>
      <c r="U74" s="67"/>
      <c r="V74" s="67"/>
      <c r="W74" s="67"/>
      <c r="X74" s="67"/>
      <c r="Y74" s="67"/>
      <c r="Z74" s="67"/>
      <c r="AA74" s="67"/>
    </row>
    <row r="75" spans="3:32" ht="15" hidden="1" customHeight="1" x14ac:dyDescent="0.2">
      <c r="C75" s="58" t="str">
        <f t="shared" si="3"/>
        <v/>
      </c>
      <c r="D75" s="111"/>
      <c r="E75" s="160"/>
      <c r="F75" s="161"/>
      <c r="G75" s="141"/>
      <c r="H75" s="142"/>
      <c r="I75" s="142"/>
      <c r="J75" s="141"/>
      <c r="K75" s="142"/>
      <c r="L75" s="142"/>
      <c r="M75" s="143"/>
      <c r="N75" s="1"/>
      <c r="O75" s="26">
        <f t="shared" si="4"/>
        <v>0</v>
      </c>
      <c r="P75" s="74"/>
      <c r="Q75" s="67"/>
      <c r="T75" s="67"/>
      <c r="U75" s="67"/>
      <c r="V75" s="67"/>
      <c r="W75" s="67"/>
      <c r="X75" s="67"/>
      <c r="Y75" s="67"/>
      <c r="Z75" s="67"/>
      <c r="AA75" s="67"/>
    </row>
    <row r="76" spans="3:32" ht="15" hidden="1" customHeight="1" x14ac:dyDescent="0.2">
      <c r="C76" s="58" t="str">
        <f t="shared" si="3"/>
        <v/>
      </c>
      <c r="D76" s="111"/>
      <c r="E76" s="160"/>
      <c r="F76" s="161"/>
      <c r="G76" s="141"/>
      <c r="H76" s="142"/>
      <c r="I76" s="142"/>
      <c r="J76" s="141"/>
      <c r="K76" s="142"/>
      <c r="L76" s="142"/>
      <c r="M76" s="143"/>
      <c r="N76" s="1"/>
      <c r="O76" s="26">
        <f t="shared" si="4"/>
        <v>0</v>
      </c>
      <c r="P76" s="74"/>
      <c r="Q76" s="67"/>
      <c r="T76" s="67"/>
      <c r="U76" s="67"/>
      <c r="V76" s="67"/>
      <c r="W76" s="67"/>
      <c r="X76" s="67"/>
      <c r="Y76" s="67"/>
      <c r="Z76" s="67"/>
      <c r="AA76" s="67"/>
    </row>
    <row r="77" spans="3:32" ht="15" hidden="1" customHeight="1" x14ac:dyDescent="0.2">
      <c r="C77" s="58" t="str">
        <f t="shared" si="3"/>
        <v/>
      </c>
      <c r="D77" s="111"/>
      <c r="E77" s="160"/>
      <c r="F77" s="161"/>
      <c r="G77" s="141"/>
      <c r="H77" s="142"/>
      <c r="I77" s="142"/>
      <c r="J77" s="141"/>
      <c r="K77" s="142"/>
      <c r="L77" s="142"/>
      <c r="M77" s="143"/>
      <c r="N77" s="1"/>
      <c r="O77" s="26">
        <f t="shared" si="4"/>
        <v>0</v>
      </c>
      <c r="P77" s="74"/>
      <c r="Q77" s="67"/>
      <c r="T77" s="67"/>
      <c r="U77" s="67"/>
      <c r="V77" s="67"/>
      <c r="W77" s="67"/>
      <c r="X77" s="67"/>
      <c r="Y77" s="67"/>
      <c r="Z77" s="67"/>
      <c r="AA77" s="67"/>
    </row>
    <row r="78" spans="3:32" ht="15" hidden="1" customHeight="1" x14ac:dyDescent="0.2">
      <c r="C78" s="58" t="str">
        <f t="shared" si="3"/>
        <v/>
      </c>
      <c r="D78" s="111"/>
      <c r="E78" s="160"/>
      <c r="F78" s="161"/>
      <c r="G78" s="141"/>
      <c r="H78" s="142"/>
      <c r="I78" s="142"/>
      <c r="J78" s="141"/>
      <c r="K78" s="142"/>
      <c r="L78" s="142"/>
      <c r="M78" s="143"/>
      <c r="N78" s="1"/>
      <c r="O78" s="26">
        <f t="shared" si="4"/>
        <v>0</v>
      </c>
      <c r="P78" s="74"/>
      <c r="Q78" s="67"/>
      <c r="T78" s="67"/>
      <c r="U78" s="67"/>
      <c r="V78" s="67"/>
      <c r="W78" s="67"/>
      <c r="X78" s="67"/>
      <c r="Y78" s="67"/>
      <c r="Z78" s="67"/>
      <c r="AA78" s="67"/>
    </row>
    <row r="79" spans="3:32" ht="15" hidden="1" customHeight="1" x14ac:dyDescent="0.2">
      <c r="C79" s="58" t="str">
        <f t="shared" si="3"/>
        <v/>
      </c>
      <c r="D79" s="111"/>
      <c r="E79" s="160"/>
      <c r="F79" s="161"/>
      <c r="G79" s="141"/>
      <c r="H79" s="142"/>
      <c r="I79" s="142"/>
      <c r="J79" s="141"/>
      <c r="K79" s="142"/>
      <c r="L79" s="142"/>
      <c r="M79" s="143"/>
      <c r="N79" s="1"/>
      <c r="O79" s="26">
        <f t="shared" si="4"/>
        <v>0</v>
      </c>
      <c r="P79" s="74"/>
      <c r="Q79" s="67"/>
      <c r="T79" s="67"/>
      <c r="U79" s="67"/>
      <c r="V79" s="67"/>
      <c r="W79" s="67"/>
      <c r="X79" s="67"/>
      <c r="Y79" s="67"/>
      <c r="Z79" s="67"/>
      <c r="AA79" s="67"/>
    </row>
    <row r="80" spans="3:32" ht="15" hidden="1" customHeight="1" x14ac:dyDescent="0.2">
      <c r="C80" s="84"/>
      <c r="D80" s="84"/>
      <c r="E80" s="84"/>
      <c r="F80" s="84"/>
      <c r="G80" s="84"/>
      <c r="H80" s="84"/>
      <c r="I80" s="84"/>
      <c r="J80" s="84"/>
      <c r="K80" s="84"/>
      <c r="L80" s="84"/>
      <c r="M80" s="84"/>
      <c r="N80" s="1"/>
      <c r="O80" s="26"/>
      <c r="P80" s="74"/>
      <c r="Q80" s="67"/>
      <c r="T80" s="67"/>
      <c r="U80" s="67"/>
      <c r="V80" s="67"/>
      <c r="W80" s="67"/>
      <c r="X80" s="67"/>
      <c r="Y80" s="67"/>
      <c r="Z80" s="67"/>
      <c r="AA80" s="67"/>
    </row>
    <row r="81" spans="3:27" ht="15" customHeight="1" thickBot="1" x14ac:dyDescent="0.25">
      <c r="C81" s="162"/>
      <c r="D81" s="162"/>
      <c r="E81" s="162"/>
      <c r="F81" s="162"/>
      <c r="G81" s="162"/>
      <c r="H81" s="162"/>
      <c r="I81" s="162"/>
      <c r="J81" s="162"/>
      <c r="K81" s="162"/>
      <c r="L81" s="162"/>
      <c r="M81" s="162"/>
      <c r="N81" s="1"/>
    </row>
    <row r="82" spans="3:27" ht="15" customHeight="1" x14ac:dyDescent="0.2">
      <c r="C82" s="159"/>
      <c r="D82" s="159"/>
      <c r="E82" s="159"/>
      <c r="F82" s="159"/>
      <c r="G82" s="159"/>
      <c r="H82" s="159"/>
      <c r="I82" s="159"/>
      <c r="J82" s="159"/>
      <c r="K82" s="159"/>
      <c r="L82" s="159"/>
      <c r="M82" s="159"/>
      <c r="N82" s="1"/>
      <c r="P82" s="61"/>
      <c r="Q82" s="72" t="str">
        <f>SUBSTITUTE(SUBSTITUTE(SUBSTITUTE(SUBSTITUTE(SUBSTITUTE(SUBSTITUTE(SUBSTITUTE(LOWER(D55)," ",""),"from",""),",","+"),"and","+"),"&amp;","+"),"++","+"),"to","-")&amp;"+"</f>
        <v>+</v>
      </c>
      <c r="T82" s="72"/>
      <c r="U82" s="72" t="s">
        <v>394</v>
      </c>
      <c r="V82" s="72">
        <f>LEN(Q82)-LEN(SUBSTITUTE(Q82,"+",""))</f>
        <v>1</v>
      </c>
      <c r="W82" s="72"/>
      <c r="X82" s="72">
        <f>IF(RIGHT(Q82,2)="++",-1,0)</f>
        <v>0</v>
      </c>
      <c r="Y82" s="72"/>
      <c r="Z82" s="72">
        <f>LEN(Q82)-LEN(SUBSTITUTE(Q82,"-",""))+LEN(Q82)-LEN(SUBSTITUTE(LOWER(Q82),"to",""))</f>
        <v>0</v>
      </c>
      <c r="AA82" s="72"/>
    </row>
    <row r="83" spans="3:27" ht="15" hidden="1" customHeight="1" x14ac:dyDescent="0.2">
      <c r="C83" s="40" t="s">
        <v>73</v>
      </c>
      <c r="D83" s="1"/>
      <c r="E83" s="1"/>
      <c r="F83" s="1"/>
      <c r="G83" s="1"/>
      <c r="H83" s="1"/>
      <c r="I83" s="1"/>
      <c r="J83" s="1"/>
      <c r="K83" s="1"/>
      <c r="L83" s="1"/>
      <c r="M83" s="1"/>
      <c r="N83" s="1" t="s">
        <v>342</v>
      </c>
      <c r="P83" s="61" t="s">
        <v>385</v>
      </c>
      <c r="Q83" s="73">
        <f>LEN(Q82)</f>
        <v>1</v>
      </c>
      <c r="T83" s="72"/>
      <c r="U83" s="72"/>
      <c r="V83" s="72"/>
      <c r="W83" s="72"/>
      <c r="X83" s="72"/>
      <c r="Y83" s="72"/>
      <c r="Z83" s="72"/>
      <c r="AA83" s="72"/>
    </row>
    <row r="84" spans="3:27" ht="15" hidden="1" customHeight="1" x14ac:dyDescent="0.2">
      <c r="C84" s="1" t="s">
        <v>56</v>
      </c>
      <c r="D84" s="1"/>
      <c r="E84" s="1"/>
      <c r="F84" s="236" t="s">
        <v>61</v>
      </c>
      <c r="G84" s="277"/>
      <c r="H84" s="1"/>
      <c r="I84" s="1"/>
      <c r="J84" s="1"/>
      <c r="K84" s="1"/>
      <c r="L84" s="1"/>
      <c r="M84" s="1"/>
      <c r="N84" s="1" t="s">
        <v>342</v>
      </c>
      <c r="P84" s="74" t="s">
        <v>386</v>
      </c>
      <c r="Q84" s="66" t="e">
        <f>FIND("-",Q82)</f>
        <v>#VALUE!</v>
      </c>
      <c r="R84" s="2">
        <f>IF(ISERROR(IF(MID(Q82,Q84-2,1)="+",1,2)),1,2)</f>
        <v>1</v>
      </c>
      <c r="T84" s="67" t="e">
        <f>REPLACE(Q82,Q84,1,"X")</f>
        <v>#VALUE!</v>
      </c>
      <c r="U84" s="74" t="s">
        <v>390</v>
      </c>
      <c r="V84" s="67" t="e">
        <f>FIND("+",RIGHT(T84,W84-Q84))+Q84</f>
        <v>#VALUE!</v>
      </c>
      <c r="W84" s="67" t="e">
        <f>LEN(T84)</f>
        <v>#VALUE!</v>
      </c>
      <c r="X84" s="67" t="e">
        <f>V84-Q84-1</f>
        <v>#VALUE!</v>
      </c>
      <c r="Y84" s="67" t="e">
        <f>MID(Q82,V84-X84,X84)-MID(Q82,Q84-R84,R84)+1</f>
        <v>#VALUE!</v>
      </c>
      <c r="Z84" s="67">
        <f>IF(ISERROR(Y84),0,Y84)</f>
        <v>0</v>
      </c>
      <c r="AA84" s="67">
        <f>IF(OR(Z84="",Z84=0),0,1)</f>
        <v>0</v>
      </c>
    </row>
    <row r="85" spans="3:27" ht="15" hidden="1" customHeight="1" x14ac:dyDescent="0.2">
      <c r="C85" s="11" t="s">
        <v>57</v>
      </c>
      <c r="D85" s="11"/>
      <c r="E85" s="11"/>
      <c r="F85" s="167" t="s">
        <v>62</v>
      </c>
      <c r="G85" s="168"/>
      <c r="H85" s="12"/>
      <c r="I85" s="11"/>
      <c r="J85" s="11"/>
      <c r="K85" s="12"/>
      <c r="L85" s="12"/>
      <c r="M85" s="11"/>
      <c r="N85" s="1" t="s">
        <v>342</v>
      </c>
      <c r="P85" s="74" t="s">
        <v>387</v>
      </c>
      <c r="Q85" s="66" t="e">
        <f>FIND("-",T84)</f>
        <v>#VALUE!</v>
      </c>
      <c r="R85" s="2" t="e">
        <f>IF(MID(Q82,Q85-2,1)="+",1,2)</f>
        <v>#VALUE!</v>
      </c>
      <c r="T85" s="67" t="e">
        <f>REPLACE(T84,Q85,1,"X")</f>
        <v>#VALUE!</v>
      </c>
      <c r="U85" s="74" t="s">
        <v>391</v>
      </c>
      <c r="V85" s="67" t="e">
        <f>FIND("+",RIGHT(T85,W85-Q85))+Q85</f>
        <v>#VALUE!</v>
      </c>
      <c r="W85" s="67" t="e">
        <f>LEN(T85)</f>
        <v>#VALUE!</v>
      </c>
      <c r="X85" s="67" t="e">
        <f>V85-Q85-1</f>
        <v>#VALUE!</v>
      </c>
      <c r="Y85" s="67" t="e">
        <f>MID(T84,V85-X85,X85)-MID(T84,Q85-R85,R85)+1</f>
        <v>#VALUE!</v>
      </c>
      <c r="Z85" s="67">
        <f>IF(ISERROR(Y85),0,Y85)</f>
        <v>0</v>
      </c>
      <c r="AA85" s="67">
        <f>IF(OR(Z85="",Z85=0),0,1)</f>
        <v>0</v>
      </c>
    </row>
    <row r="86" spans="3:27" ht="15" hidden="1" customHeight="1" x14ac:dyDescent="0.2">
      <c r="C86" s="11" t="s">
        <v>58</v>
      </c>
      <c r="D86" s="11"/>
      <c r="E86" s="11"/>
      <c r="F86" s="167" t="s">
        <v>62</v>
      </c>
      <c r="G86" s="168"/>
      <c r="H86" s="12"/>
      <c r="I86" s="11"/>
      <c r="J86" s="11"/>
      <c r="K86" s="12"/>
      <c r="L86" s="12"/>
      <c r="M86" s="11"/>
      <c r="N86" s="1" t="s">
        <v>342</v>
      </c>
      <c r="P86" s="74" t="s">
        <v>388</v>
      </c>
      <c r="Q86" s="66" t="e">
        <f>FIND("-",T85)</f>
        <v>#VALUE!</v>
      </c>
      <c r="R86" s="2" t="e">
        <f>IF(MID(Q83,Q86-2,1)="+",1,2)</f>
        <v>#VALUE!</v>
      </c>
      <c r="T86" s="67" t="e">
        <f>REPLACE(T85,Q86,1,"X")</f>
        <v>#VALUE!</v>
      </c>
      <c r="U86" s="74" t="s">
        <v>392</v>
      </c>
      <c r="V86" s="67" t="e">
        <f>FIND("+",RIGHT(T86,W86-Q86))+Q86</f>
        <v>#VALUE!</v>
      </c>
      <c r="W86" s="67" t="e">
        <f>LEN(T86)</f>
        <v>#VALUE!</v>
      </c>
      <c r="X86" s="67" t="e">
        <f>V86-Q86-1</f>
        <v>#VALUE!</v>
      </c>
      <c r="Y86" s="67" t="e">
        <f>MID(T85,V86-X86,X86)-MID(T85,Q86-R86,R86)+1</f>
        <v>#VALUE!</v>
      </c>
      <c r="Z86" s="67">
        <f>IF(ISERROR(Y86),0,Y86)</f>
        <v>0</v>
      </c>
      <c r="AA86" s="67">
        <f>IF(OR(Z86="",Z86=0),0,1)</f>
        <v>0</v>
      </c>
    </row>
    <row r="87" spans="3:27" ht="15" hidden="1" customHeight="1" x14ac:dyDescent="0.2">
      <c r="C87" s="11" t="s">
        <v>59</v>
      </c>
      <c r="D87" s="11"/>
      <c r="E87" s="11"/>
      <c r="F87" s="167" t="s">
        <v>63</v>
      </c>
      <c r="G87" s="168"/>
      <c r="H87" s="12"/>
      <c r="I87" s="11"/>
      <c r="J87" s="11"/>
      <c r="K87" s="12"/>
      <c r="L87" s="12"/>
      <c r="M87" s="11"/>
      <c r="N87" s="1" t="s">
        <v>342</v>
      </c>
      <c r="P87" s="74" t="s">
        <v>389</v>
      </c>
      <c r="Q87" s="66" t="e">
        <f>FIND("-",T86)</f>
        <v>#VALUE!</v>
      </c>
      <c r="R87" s="2" t="e">
        <f>IF(MID(Q84,Q87-2,1)="+",1,2)</f>
        <v>#VALUE!</v>
      </c>
      <c r="T87" s="67" t="e">
        <f>REPLACE(T86,Q87,1,"X")</f>
        <v>#VALUE!</v>
      </c>
      <c r="U87" s="74" t="s">
        <v>393</v>
      </c>
      <c r="V87" s="67" t="e">
        <f>FIND("+",RIGHT(T87,W87-Q87))+Q87</f>
        <v>#VALUE!</v>
      </c>
      <c r="W87" s="67" t="e">
        <f>LEN(T87)</f>
        <v>#VALUE!</v>
      </c>
      <c r="X87" s="67" t="e">
        <f>V87-Q87-1</f>
        <v>#VALUE!</v>
      </c>
      <c r="Y87" s="67" t="e">
        <f>MID(T86,V87-X87,X87)-MID(T86,Q87-R87,R87)+1</f>
        <v>#VALUE!</v>
      </c>
      <c r="Z87" s="67">
        <f>IF(ISERROR(Y87),0,Y87)</f>
        <v>0</v>
      </c>
      <c r="AA87" s="67">
        <f>IF(OR(Z87="",Z87=0),0,1)</f>
        <v>0</v>
      </c>
    </row>
    <row r="88" spans="3:27" ht="15" hidden="1" customHeight="1" x14ac:dyDescent="0.2">
      <c r="C88" s="11" t="s">
        <v>60</v>
      </c>
      <c r="D88" s="11"/>
      <c r="E88" s="11"/>
      <c r="F88" s="167" t="s">
        <v>61</v>
      </c>
      <c r="G88" s="168"/>
      <c r="H88" s="12"/>
      <c r="I88" s="11"/>
      <c r="J88" s="12"/>
      <c r="K88" s="12"/>
      <c r="L88" s="12"/>
      <c r="M88" s="11"/>
      <c r="N88" s="1" t="s">
        <v>342</v>
      </c>
      <c r="P88" s="74"/>
      <c r="Q88" s="67"/>
      <c r="T88" s="67"/>
      <c r="U88" s="67"/>
      <c r="V88" s="67"/>
      <c r="W88" s="67"/>
      <c r="X88" s="67" t="s">
        <v>395</v>
      </c>
      <c r="Y88" s="67" t="e">
        <f>Y84+Y85+Y86+Y87</f>
        <v>#VALUE!</v>
      </c>
      <c r="Z88" s="75">
        <f>Z84+Z85+Z86+Z87</f>
        <v>0</v>
      </c>
      <c r="AA88" s="75">
        <f>AA84+AA85+AA86+AA87</f>
        <v>0</v>
      </c>
    </row>
    <row r="89" spans="3:27" ht="15" hidden="1" customHeight="1" x14ac:dyDescent="0.2">
      <c r="C89" s="11" t="s">
        <v>64</v>
      </c>
      <c r="D89" s="11"/>
      <c r="E89" s="11"/>
      <c r="F89" s="167" t="s">
        <v>69</v>
      </c>
      <c r="G89" s="168"/>
      <c r="H89" s="12"/>
      <c r="I89" s="11"/>
      <c r="J89" s="11"/>
      <c r="K89" s="12"/>
      <c r="L89" s="12"/>
      <c r="M89" s="11"/>
      <c r="N89" s="1" t="s">
        <v>342</v>
      </c>
      <c r="P89" s="74"/>
      <c r="Q89" s="67"/>
      <c r="T89" s="67"/>
      <c r="U89" s="67"/>
      <c r="V89" s="67"/>
      <c r="W89" s="67"/>
      <c r="X89" s="67"/>
      <c r="Y89" s="67"/>
      <c r="Z89" s="67">
        <f>Z88+V82-AA88+X82</f>
        <v>1</v>
      </c>
      <c r="AA89" s="67"/>
    </row>
    <row r="90" spans="3:27" ht="15" hidden="1" customHeight="1" x14ac:dyDescent="0.2">
      <c r="C90" s="11" t="s">
        <v>65</v>
      </c>
      <c r="D90" s="11"/>
      <c r="E90" s="11"/>
      <c r="F90" s="167" t="s">
        <v>70</v>
      </c>
      <c r="G90" s="168"/>
      <c r="H90" s="12"/>
      <c r="I90" s="11"/>
      <c r="J90" s="11"/>
      <c r="K90" s="12"/>
      <c r="L90" s="12"/>
      <c r="M90" s="11"/>
      <c r="N90" s="1" t="s">
        <v>342</v>
      </c>
    </row>
    <row r="91" spans="3:27" ht="15" hidden="1" customHeight="1" x14ac:dyDescent="0.2">
      <c r="C91" s="11" t="s">
        <v>66</v>
      </c>
      <c r="D91" s="11"/>
      <c r="E91" s="11"/>
      <c r="F91" s="167">
        <v>1</v>
      </c>
      <c r="G91" s="168"/>
      <c r="H91" s="12"/>
      <c r="I91" s="11"/>
      <c r="J91" s="11"/>
      <c r="K91" s="12"/>
      <c r="L91" s="12"/>
      <c r="M91" s="11"/>
      <c r="N91" s="1" t="s">
        <v>342</v>
      </c>
      <c r="P91" s="61"/>
      <c r="Q91" s="72" t="s">
        <v>413</v>
      </c>
      <c r="T91" s="72"/>
      <c r="U91" s="72" t="s">
        <v>394</v>
      </c>
      <c r="V91" s="72">
        <f>LEN(Q91)-LEN(SUBSTITUTE(Q91,"+",""))</f>
        <v>1</v>
      </c>
      <c r="W91" s="72"/>
      <c r="X91" s="72">
        <f>IF(RIGHT(Q91,2)="++",-1,0)</f>
        <v>0</v>
      </c>
      <c r="Y91" s="72"/>
      <c r="Z91" s="72">
        <f>LEN(Q91)-LEN(SUBSTITUTE(Q91,"-",""))+LEN(Q91)-LEN(SUBSTITUTE(LOWER(Q91),"to",""))</f>
        <v>0</v>
      </c>
      <c r="AA91" s="72"/>
    </row>
    <row r="92" spans="3:27" ht="15" hidden="1" customHeight="1" x14ac:dyDescent="0.2">
      <c r="C92" s="11" t="s">
        <v>67</v>
      </c>
      <c r="D92" s="11"/>
      <c r="E92" s="11"/>
      <c r="F92" s="167" t="s">
        <v>71</v>
      </c>
      <c r="G92" s="168"/>
      <c r="H92" s="12"/>
      <c r="I92" s="11"/>
      <c r="J92" s="12"/>
      <c r="K92" s="12"/>
      <c r="L92" s="12"/>
      <c r="M92" s="11"/>
      <c r="N92" s="1" t="s">
        <v>342</v>
      </c>
      <c r="P92" s="61" t="s">
        <v>385</v>
      </c>
      <c r="Q92" s="73">
        <v>2</v>
      </c>
      <c r="R92" s="18"/>
      <c r="S92" s="18"/>
      <c r="T92" s="72"/>
      <c r="U92" s="72"/>
      <c r="V92" s="72"/>
      <c r="W92" s="72"/>
      <c r="X92" s="72"/>
      <c r="Y92" s="72"/>
      <c r="Z92" s="72"/>
      <c r="AA92" s="72"/>
    </row>
    <row r="93" spans="3:27" ht="15" hidden="1" customHeight="1" thickBot="1" x14ac:dyDescent="0.25">
      <c r="C93" s="13" t="s">
        <v>68</v>
      </c>
      <c r="D93" s="13"/>
      <c r="E93" s="13"/>
      <c r="F93" s="273" t="s">
        <v>72</v>
      </c>
      <c r="G93" s="274"/>
      <c r="H93" s="14"/>
      <c r="I93" s="13"/>
      <c r="J93" s="14"/>
      <c r="K93" s="14"/>
      <c r="L93" s="14"/>
      <c r="M93" s="13"/>
      <c r="N93" s="1" t="s">
        <v>342</v>
      </c>
      <c r="P93" s="74" t="s">
        <v>386</v>
      </c>
      <c r="Q93" s="66" t="e">
        <f>FIND("-",Q91)</f>
        <v>#VALUE!</v>
      </c>
      <c r="R93" s="2">
        <f>IF(ISERROR(IF(MID(Q91,Q93-2,1)="+",1,2)),1,2)</f>
        <v>1</v>
      </c>
      <c r="T93" s="67" t="e">
        <f>REPLACE(Q91,Q93,1,"X")</f>
        <v>#VALUE!</v>
      </c>
      <c r="U93" s="74" t="s">
        <v>390</v>
      </c>
      <c r="V93" s="67" t="e">
        <f>FIND("+",RIGHT(T93,W93-Q93))+Q93</f>
        <v>#VALUE!</v>
      </c>
      <c r="W93" s="67" t="e">
        <f>LEN(T93)</f>
        <v>#VALUE!</v>
      </c>
      <c r="X93" s="67" t="e">
        <f>V93-Q93-1</f>
        <v>#VALUE!</v>
      </c>
      <c r="Y93" s="67" t="e">
        <f>MID(Q91,V93-X93,X93)-MID(Q91,Q93-R93,R93)+1</f>
        <v>#VALUE!</v>
      </c>
      <c r="Z93" s="67">
        <f>IF(ISERROR(Y93),0,Y93)</f>
        <v>0</v>
      </c>
      <c r="AA93" s="67">
        <f>IF(OR(Z93="",Z93=0),0,1)</f>
        <v>0</v>
      </c>
    </row>
    <row r="94" spans="3:27" s="18" customFormat="1" ht="15" hidden="1" customHeight="1" x14ac:dyDescent="0.2">
      <c r="C94" s="5"/>
      <c r="D94" s="5"/>
      <c r="E94" s="5"/>
      <c r="F94" s="19"/>
      <c r="G94" s="5"/>
      <c r="H94" s="17"/>
      <c r="I94" s="5"/>
      <c r="J94" s="17"/>
      <c r="K94" s="17"/>
      <c r="L94" s="17"/>
      <c r="M94" s="5"/>
      <c r="N94" s="5" t="s">
        <v>342</v>
      </c>
      <c r="O94" s="2"/>
      <c r="P94" s="74" t="s">
        <v>387</v>
      </c>
      <c r="Q94" s="66" t="e">
        <f>FIND("-",T93)</f>
        <v>#VALUE!</v>
      </c>
      <c r="R94" s="2" t="e">
        <f>IF(MID(Q91,Q94-2,1)="+",1,2)</f>
        <v>#VALUE!</v>
      </c>
      <c r="S94" s="2"/>
      <c r="T94" s="67" t="e">
        <f>REPLACE(T93,Q94,1,"X")</f>
        <v>#VALUE!</v>
      </c>
      <c r="U94" s="74" t="s">
        <v>391</v>
      </c>
      <c r="V94" s="67" t="e">
        <f>FIND("+",RIGHT(T94,W94-Q94))+Q94</f>
        <v>#VALUE!</v>
      </c>
      <c r="W94" s="67" t="e">
        <f t="shared" ref="W94:W99" si="5">LEN(T94)</f>
        <v>#VALUE!</v>
      </c>
      <c r="X94" s="67" t="e">
        <f>V94-Q94-1</f>
        <v>#VALUE!</v>
      </c>
      <c r="Y94" s="67" t="e">
        <f>MID(T93,V94-X94,X94)-MID(T93,Q94-R94,R94)+1</f>
        <v>#VALUE!</v>
      </c>
      <c r="Z94" s="67">
        <f t="shared" ref="Z94:Z99" si="6">IF(ISERROR(Y94),0,Y94)</f>
        <v>0</v>
      </c>
      <c r="AA94" s="67">
        <f t="shared" ref="AA94:AA99" si="7">IF(OR(Z94="",Z94=0),0,1)</f>
        <v>0</v>
      </c>
    </row>
    <row r="95" spans="3:27" ht="15" customHeight="1" x14ac:dyDescent="0.2">
      <c r="C95" s="264" t="s">
        <v>401</v>
      </c>
      <c r="D95" s="264"/>
      <c r="E95" s="264"/>
      <c r="F95" s="264"/>
      <c r="G95" s="264"/>
      <c r="H95" s="264"/>
      <c r="I95" s="264"/>
      <c r="J95" s="264"/>
      <c r="K95" s="264"/>
      <c r="L95" s="264"/>
      <c r="M95" s="264"/>
      <c r="N95" s="1"/>
      <c r="P95" s="74" t="s">
        <v>388</v>
      </c>
      <c r="Q95" s="66" t="e">
        <f>FIND("-",T94)</f>
        <v>#VALUE!</v>
      </c>
      <c r="R95" s="2" t="e">
        <f>IF(MID(Q92,Q95-2,1)="+",1,2)</f>
        <v>#VALUE!</v>
      </c>
      <c r="T95" s="67" t="e">
        <f>REPLACE(T94,Q95,1,"X")</f>
        <v>#VALUE!</v>
      </c>
      <c r="U95" s="74" t="s">
        <v>392</v>
      </c>
      <c r="V95" s="67" t="e">
        <f>FIND("+",RIGHT(T95,W95-Q95))+Q95</f>
        <v>#VALUE!</v>
      </c>
      <c r="W95" s="67" t="e">
        <f t="shared" si="5"/>
        <v>#VALUE!</v>
      </c>
      <c r="X95" s="67" t="e">
        <f>V95-Q95-1</f>
        <v>#VALUE!</v>
      </c>
      <c r="Y95" s="67" t="e">
        <f>MID(T94,V95-X95,X95)-MID(T94,Q95-R95,R95)+1</f>
        <v>#VALUE!</v>
      </c>
      <c r="Z95" s="67">
        <f t="shared" si="6"/>
        <v>0</v>
      </c>
      <c r="AA95" s="67">
        <f t="shared" si="7"/>
        <v>0</v>
      </c>
    </row>
    <row r="96" spans="3:27" ht="15" customHeight="1" x14ac:dyDescent="0.2">
      <c r="C96" s="9" t="s">
        <v>400</v>
      </c>
      <c r="D96" s="9"/>
      <c r="E96" s="9"/>
      <c r="F96" s="166"/>
      <c r="G96" s="166"/>
      <c r="H96" s="166"/>
      <c r="I96" s="166"/>
      <c r="J96" s="166"/>
      <c r="K96" s="166"/>
      <c r="L96" s="166"/>
      <c r="M96" s="166"/>
      <c r="N96" s="1"/>
      <c r="P96" s="74"/>
      <c r="Q96" s="66"/>
      <c r="T96" s="67"/>
      <c r="U96" s="74"/>
      <c r="V96" s="67"/>
      <c r="W96" s="67"/>
      <c r="X96" s="67"/>
      <c r="Y96" s="67"/>
      <c r="Z96" s="67"/>
      <c r="AA96" s="67"/>
    </row>
    <row r="97" spans="2:27" ht="15" customHeight="1" x14ac:dyDescent="0.2">
      <c r="C97" s="165"/>
      <c r="D97" s="165"/>
      <c r="E97" s="165"/>
      <c r="F97" s="165"/>
      <c r="G97" s="165"/>
      <c r="H97" s="165"/>
      <c r="I97" s="165"/>
      <c r="J97" s="165"/>
      <c r="K97" s="165"/>
      <c r="L97" s="165"/>
      <c r="M97" s="165"/>
      <c r="N97" s="1"/>
      <c r="P97" s="74"/>
      <c r="Q97" s="66"/>
      <c r="T97" s="67"/>
      <c r="U97" s="74"/>
      <c r="V97" s="67"/>
      <c r="W97" s="67"/>
      <c r="X97" s="67"/>
      <c r="Y97" s="67"/>
      <c r="Z97" s="67"/>
      <c r="AA97" s="67"/>
    </row>
    <row r="98" spans="2:27" ht="15" customHeight="1" thickBot="1" x14ac:dyDescent="0.25">
      <c r="C98" s="206"/>
      <c r="D98" s="206"/>
      <c r="E98" s="206"/>
      <c r="F98" s="206"/>
      <c r="G98" s="206"/>
      <c r="H98" s="206"/>
      <c r="I98" s="206"/>
      <c r="J98" s="206"/>
      <c r="K98" s="206"/>
      <c r="L98" s="206"/>
      <c r="M98" s="206"/>
      <c r="N98" s="1"/>
      <c r="P98" s="74"/>
      <c r="Q98" s="66"/>
      <c r="T98" s="67"/>
      <c r="U98" s="74"/>
      <c r="V98" s="67"/>
      <c r="W98" s="67"/>
      <c r="X98" s="67"/>
      <c r="Y98" s="67"/>
      <c r="Z98" s="67"/>
      <c r="AA98" s="67"/>
    </row>
    <row r="99" spans="2:27" ht="15" hidden="1" customHeight="1" x14ac:dyDescent="0.2">
      <c r="C99" s="90"/>
      <c r="D99" s="5"/>
      <c r="E99" s="5"/>
      <c r="F99" s="5"/>
      <c r="G99" s="5"/>
      <c r="H99" s="5"/>
      <c r="I99" s="5"/>
      <c r="J99" s="5"/>
      <c r="K99" s="5"/>
      <c r="L99" s="5"/>
      <c r="M99" s="5"/>
      <c r="N99" s="1" t="s">
        <v>342</v>
      </c>
      <c r="P99" s="74" t="s">
        <v>389</v>
      </c>
      <c r="Q99" s="66" t="e">
        <f>FIND("-",T95)</f>
        <v>#VALUE!</v>
      </c>
      <c r="R99" s="2" t="e">
        <f>IF(MID(Q93,Q99-2,1)="+",1,2)</f>
        <v>#VALUE!</v>
      </c>
      <c r="T99" s="67" t="e">
        <f>REPLACE(T95,Q99,1,"X")</f>
        <v>#VALUE!</v>
      </c>
      <c r="U99" s="74" t="s">
        <v>393</v>
      </c>
      <c r="V99" s="67" t="e">
        <f>FIND("+",RIGHT(T99,W99-Q99))+Q99</f>
        <v>#VALUE!</v>
      </c>
      <c r="W99" s="67" t="e">
        <f t="shared" si="5"/>
        <v>#VALUE!</v>
      </c>
      <c r="X99" s="67" t="e">
        <f>V99-Q99-1</f>
        <v>#VALUE!</v>
      </c>
      <c r="Y99" s="67" t="e">
        <f>MID(T95,V99-X99,X99)-MID(T95,Q99-R99,R99)+1</f>
        <v>#VALUE!</v>
      </c>
      <c r="Z99" s="67">
        <f t="shared" si="6"/>
        <v>0</v>
      </c>
      <c r="AA99" s="67">
        <f t="shared" si="7"/>
        <v>0</v>
      </c>
    </row>
    <row r="100" spans="2:27" ht="15" hidden="1" customHeight="1" x14ac:dyDescent="0.2">
      <c r="C100" s="40" t="s">
        <v>74</v>
      </c>
      <c r="D100" s="1"/>
      <c r="E100" s="1"/>
      <c r="F100" s="1"/>
      <c r="G100" s="1"/>
      <c r="H100" s="1"/>
      <c r="I100" s="1"/>
      <c r="J100" s="1"/>
      <c r="K100" s="1"/>
      <c r="L100" s="1"/>
      <c r="M100" s="1"/>
      <c r="N100" s="1" t="s">
        <v>342</v>
      </c>
      <c r="P100" s="74"/>
      <c r="Q100" s="67"/>
      <c r="T100" s="67"/>
      <c r="U100" s="67"/>
      <c r="V100" s="67"/>
      <c r="W100" s="67"/>
      <c r="X100" s="67" t="s">
        <v>395</v>
      </c>
      <c r="Y100" s="67" t="e">
        <f>Y93+Y94+Y95+Y99</f>
        <v>#VALUE!</v>
      </c>
      <c r="Z100" s="75">
        <f>Z93+Z94+Z95+Z99</f>
        <v>0</v>
      </c>
      <c r="AA100" s="75">
        <f>AA93+AA94+AA95+AA99</f>
        <v>0</v>
      </c>
    </row>
    <row r="101" spans="2:27" ht="15" hidden="1" customHeight="1" x14ac:dyDescent="0.2">
      <c r="C101" s="163" t="s">
        <v>46</v>
      </c>
      <c r="D101" s="209" t="s">
        <v>76</v>
      </c>
      <c r="E101" s="210"/>
      <c r="F101" s="259"/>
      <c r="G101" s="209" t="s">
        <v>77</v>
      </c>
      <c r="H101" s="259"/>
      <c r="I101" s="163" t="s">
        <v>78</v>
      </c>
      <c r="J101" s="209" t="s">
        <v>45</v>
      </c>
      <c r="K101" s="210"/>
      <c r="L101" s="210"/>
      <c r="M101" s="259"/>
      <c r="N101" s="1" t="s">
        <v>342</v>
      </c>
      <c r="P101" s="74"/>
      <c r="Q101" s="67"/>
      <c r="T101" s="67"/>
      <c r="U101" s="67"/>
      <c r="V101" s="67"/>
      <c r="W101" s="67"/>
      <c r="X101" s="67"/>
      <c r="Y101" s="67"/>
      <c r="Z101" s="67">
        <f>Z100+V91-AA100+X91</f>
        <v>1</v>
      </c>
      <c r="AA101" s="67"/>
    </row>
    <row r="102" spans="2:27" ht="15" hidden="1" customHeight="1" x14ac:dyDescent="0.2">
      <c r="C102" s="164"/>
      <c r="D102" s="211"/>
      <c r="E102" s="212"/>
      <c r="F102" s="260"/>
      <c r="G102" s="211"/>
      <c r="H102" s="260"/>
      <c r="I102" s="164"/>
      <c r="J102" s="211"/>
      <c r="K102" s="212"/>
      <c r="L102" s="212"/>
      <c r="M102" s="260"/>
      <c r="N102" s="1" t="s">
        <v>342</v>
      </c>
      <c r="P102" s="61"/>
      <c r="Q102" s="72" t="str">
        <f>SUBSTITUTE(SUBSTITUTE(SUBSTITUTE(SUBSTITUTE(SUBSTITUTE(SUBSTITUTE(SUBSTITUTE(LOWER(D57)," ",""),"from",""),",","+"),"and","+"),"&amp;","+"),"++","+"),"to","-")&amp;"+"</f>
        <v>+</v>
      </c>
      <c r="T102" s="72"/>
      <c r="U102" s="72" t="s">
        <v>394</v>
      </c>
      <c r="V102" s="72">
        <f>LEN(Q102)-LEN(SUBSTITUTE(Q102,"+",""))</f>
        <v>1</v>
      </c>
      <c r="W102" s="72"/>
      <c r="X102" s="72">
        <f>IF(RIGHT(Q102,2)="++",-1,0)</f>
        <v>0</v>
      </c>
      <c r="Y102" s="72"/>
      <c r="Z102" s="72">
        <f>LEN(Q102)-LEN(SUBSTITUTE(Q102,"-",""))+LEN(Q102)-LEN(SUBSTITUTE(LOWER(Q102),"to",""))</f>
        <v>0</v>
      </c>
      <c r="AA102" s="72"/>
    </row>
    <row r="103" spans="2:27" ht="15" hidden="1" customHeight="1" x14ac:dyDescent="0.2">
      <c r="C103" s="58">
        <f>IF(D103="","",1)</f>
        <v>1</v>
      </c>
      <c r="D103" s="261" t="s">
        <v>414</v>
      </c>
      <c r="E103" s="165"/>
      <c r="F103" s="262"/>
      <c r="G103" s="160">
        <v>14</v>
      </c>
      <c r="H103" s="161"/>
      <c r="I103" s="110" t="s">
        <v>75</v>
      </c>
      <c r="J103" s="258"/>
      <c r="K103" s="258"/>
      <c r="L103" s="258"/>
      <c r="M103" s="258"/>
      <c r="N103" s="1" t="s">
        <v>342</v>
      </c>
      <c r="O103" s="26">
        <f>IF(COUNTA(D103)=0,0,1)</f>
        <v>1</v>
      </c>
      <c r="P103" s="61" t="s">
        <v>385</v>
      </c>
      <c r="Q103" s="73">
        <f>LEN(Q102)</f>
        <v>1</v>
      </c>
      <c r="T103" s="72"/>
      <c r="U103" s="72"/>
      <c r="V103" s="72"/>
      <c r="W103" s="72"/>
      <c r="X103" s="72"/>
      <c r="Y103" s="72"/>
      <c r="Z103" s="72"/>
      <c r="AA103" s="72"/>
    </row>
    <row r="104" spans="2:27" ht="15" hidden="1" customHeight="1" x14ac:dyDescent="0.2">
      <c r="C104" s="58">
        <f>IF(O104&gt;0,1+C103,"")</f>
        <v>2</v>
      </c>
      <c r="D104" s="261" t="s">
        <v>415</v>
      </c>
      <c r="E104" s="177"/>
      <c r="F104" s="263"/>
      <c r="G104" s="160">
        <v>14</v>
      </c>
      <c r="H104" s="161"/>
      <c r="I104" s="110" t="s">
        <v>75</v>
      </c>
      <c r="J104" s="258"/>
      <c r="K104" s="258"/>
      <c r="L104" s="258"/>
      <c r="M104" s="258"/>
      <c r="N104" s="1" t="s">
        <v>342</v>
      </c>
      <c r="O104" s="26">
        <f>IF(COUNTA(D104)=0,0,1)</f>
        <v>1</v>
      </c>
      <c r="P104" s="74" t="s">
        <v>386</v>
      </c>
      <c r="Q104" s="66" t="e">
        <f>FIND("-",Q102)</f>
        <v>#VALUE!</v>
      </c>
      <c r="R104" s="2">
        <f>IF(ISERROR(IF(MID(Q102,Q104-2,1)="+",1,2)),1,2)</f>
        <v>1</v>
      </c>
      <c r="T104" s="67" t="e">
        <f>REPLACE(Q102,Q104,1,"X")</f>
        <v>#VALUE!</v>
      </c>
      <c r="U104" s="74" t="s">
        <v>390</v>
      </c>
      <c r="V104" s="67" t="e">
        <f>FIND("+",RIGHT(T104,W104-Q104))+Q104</f>
        <v>#VALUE!</v>
      </c>
      <c r="W104" s="67" t="e">
        <f>LEN(T104)</f>
        <v>#VALUE!</v>
      </c>
      <c r="X104" s="67" t="e">
        <f>V104-Q104-1</f>
        <v>#VALUE!</v>
      </c>
      <c r="Y104" s="67" t="e">
        <f>MID(Q102,V104-X104,X104)-MID(Q102,Q104-R104,R104)+1</f>
        <v>#VALUE!</v>
      </c>
      <c r="Z104" s="67">
        <f>IF(ISERROR(Y104),0,Y104)</f>
        <v>0</v>
      </c>
      <c r="AA104" s="67">
        <f>IF(OR(Z104="",Z104=0),0,1)</f>
        <v>0</v>
      </c>
    </row>
    <row r="105" spans="2:27" ht="15" hidden="1" customHeight="1" x14ac:dyDescent="0.2">
      <c r="C105" s="58">
        <f>IF(O105&gt;0,1+C104,"")</f>
        <v>3</v>
      </c>
      <c r="D105" s="261" t="s">
        <v>409</v>
      </c>
      <c r="E105" s="177"/>
      <c r="F105" s="263"/>
      <c r="G105" s="160">
        <v>14</v>
      </c>
      <c r="H105" s="161"/>
      <c r="I105" s="110" t="s">
        <v>75</v>
      </c>
      <c r="J105" s="258"/>
      <c r="K105" s="258"/>
      <c r="L105" s="258"/>
      <c r="M105" s="258"/>
      <c r="N105" s="1" t="s">
        <v>342</v>
      </c>
      <c r="O105" s="26">
        <f>IF(COUNTA(D105)=0,0,1)</f>
        <v>1</v>
      </c>
      <c r="P105" s="74" t="s">
        <v>387</v>
      </c>
      <c r="Q105" s="66" t="e">
        <f>FIND("-",T104)</f>
        <v>#VALUE!</v>
      </c>
      <c r="R105" s="2" t="e">
        <f>IF(MID(Q102,Q105-2,1)="+",1,2)</f>
        <v>#VALUE!</v>
      </c>
      <c r="T105" s="67" t="e">
        <f>REPLACE(T104,Q105,1,"X")</f>
        <v>#VALUE!</v>
      </c>
      <c r="U105" s="74" t="s">
        <v>391</v>
      </c>
      <c r="V105" s="67" t="e">
        <f>FIND("+",RIGHT(T105,W105-Q105))+Q105</f>
        <v>#VALUE!</v>
      </c>
      <c r="W105" s="67" t="e">
        <f>LEN(T105)</f>
        <v>#VALUE!</v>
      </c>
      <c r="X105" s="67" t="e">
        <f>V105-Q105-1</f>
        <v>#VALUE!</v>
      </c>
      <c r="Y105" s="67" t="e">
        <f>MID(T104,V105-X105,X105)-MID(T104,Q105-R105,R105)+1</f>
        <v>#VALUE!</v>
      </c>
      <c r="Z105" s="67">
        <f>IF(ISERROR(Y105),0,Y105)</f>
        <v>0</v>
      </c>
      <c r="AA105" s="67">
        <f>IF(OR(Z105="",Z105=0),0,1)</f>
        <v>0</v>
      </c>
    </row>
    <row r="106" spans="2:27" ht="15" hidden="1" customHeight="1" x14ac:dyDescent="0.2">
      <c r="C106" s="15"/>
      <c r="D106" s="261"/>
      <c r="E106" s="177"/>
      <c r="F106" s="263"/>
      <c r="G106" s="160"/>
      <c r="H106" s="161"/>
      <c r="I106" s="110"/>
      <c r="J106" s="258"/>
      <c r="K106" s="258"/>
      <c r="L106" s="258"/>
      <c r="M106" s="258"/>
      <c r="N106" s="1" t="s">
        <v>342</v>
      </c>
      <c r="O106" s="26">
        <f>IF(COUNTA(D106)=0,0,1)</f>
        <v>0</v>
      </c>
      <c r="P106" s="74"/>
      <c r="Q106" s="66"/>
      <c r="T106" s="67"/>
      <c r="U106" s="74"/>
      <c r="V106" s="67"/>
      <c r="W106" s="67"/>
      <c r="X106" s="67"/>
      <c r="Y106" s="67"/>
      <c r="Z106" s="67"/>
      <c r="AA106" s="67"/>
    </row>
    <row r="107" spans="2:27" ht="15" hidden="1" customHeight="1" thickBot="1" x14ac:dyDescent="0.25">
      <c r="B107" s="85"/>
      <c r="C107" s="86"/>
      <c r="D107" s="87"/>
      <c r="E107" s="87"/>
      <c r="F107" s="87"/>
      <c r="G107" s="87"/>
      <c r="H107" s="86"/>
      <c r="I107" s="86"/>
      <c r="J107" s="88"/>
      <c r="K107" s="88"/>
      <c r="L107" s="88"/>
      <c r="M107" s="88"/>
      <c r="N107" s="89" t="s">
        <v>342</v>
      </c>
      <c r="P107" s="74"/>
      <c r="Q107" s="66"/>
      <c r="T107" s="67"/>
      <c r="U107" s="74"/>
      <c r="V107" s="67"/>
      <c r="W107" s="67"/>
      <c r="X107" s="67"/>
      <c r="Y107" s="67"/>
      <c r="Z107" s="67"/>
      <c r="AA107" s="67"/>
    </row>
    <row r="108" spans="2:27" ht="15" hidden="1" customHeight="1" x14ac:dyDescent="0.2">
      <c r="C108" s="16"/>
      <c r="D108" s="19"/>
      <c r="E108" s="19"/>
      <c r="F108" s="19"/>
      <c r="G108" s="19"/>
      <c r="H108" s="16"/>
      <c r="I108" s="16"/>
      <c r="J108" s="82"/>
      <c r="K108" s="82"/>
      <c r="L108" s="82"/>
      <c r="M108" s="82"/>
      <c r="N108" s="1" t="s">
        <v>342</v>
      </c>
      <c r="P108" s="74" t="s">
        <v>388</v>
      </c>
      <c r="Q108" s="66" t="e">
        <f>FIND("-",T105)</f>
        <v>#VALUE!</v>
      </c>
      <c r="R108" s="2" t="e">
        <f>IF(MID(Q103,Q108-2,1)="+",1,2)</f>
        <v>#VALUE!</v>
      </c>
      <c r="T108" s="67" t="e">
        <f>REPLACE(T105,Q108,1,"X")</f>
        <v>#VALUE!</v>
      </c>
      <c r="U108" s="74" t="s">
        <v>392</v>
      </c>
      <c r="V108" s="67" t="e">
        <f>FIND("+",RIGHT(T108,W108-Q108))+Q108</f>
        <v>#VALUE!</v>
      </c>
      <c r="W108" s="67" t="e">
        <f>LEN(T108)</f>
        <v>#VALUE!</v>
      </c>
      <c r="X108" s="67" t="e">
        <f>V108-Q108-1</f>
        <v>#VALUE!</v>
      </c>
      <c r="Y108" s="67" t="e">
        <f>MID(T105,V108-X108,X108)-MID(T105,Q108-R108,R108)+1</f>
        <v>#VALUE!</v>
      </c>
      <c r="Z108" s="67">
        <f>IF(ISERROR(Y108),0,Y108)</f>
        <v>0</v>
      </c>
      <c r="AA108" s="67">
        <f>IF(OR(Z108="",Z108=0),0,1)</f>
        <v>0</v>
      </c>
    </row>
    <row r="109" spans="2:27" ht="15" hidden="1" customHeight="1" x14ac:dyDescent="0.2">
      <c r="C109" s="40" t="s">
        <v>79</v>
      </c>
      <c r="D109" s="1"/>
      <c r="E109" s="1"/>
      <c r="F109" s="1"/>
      <c r="G109" s="1"/>
      <c r="H109" s="1"/>
      <c r="I109" s="1"/>
      <c r="J109" s="1"/>
      <c r="K109" s="1"/>
      <c r="L109" s="1"/>
      <c r="M109" s="1"/>
      <c r="N109" s="1" t="s">
        <v>342</v>
      </c>
      <c r="O109" s="1"/>
      <c r="P109" s="74" t="s">
        <v>389</v>
      </c>
      <c r="Q109" s="66" t="e">
        <f>FIND("-",T108)</f>
        <v>#VALUE!</v>
      </c>
      <c r="R109" s="2" t="e">
        <f>IF(MID(Q104,Q109-2,1)="+",1,2)</f>
        <v>#VALUE!</v>
      </c>
      <c r="T109" s="67" t="e">
        <f>REPLACE(T108,Q109,1,"X")</f>
        <v>#VALUE!</v>
      </c>
      <c r="U109" s="74" t="s">
        <v>393</v>
      </c>
      <c r="V109" s="67" t="e">
        <f>FIND("+",RIGHT(T109,W109-Q109))+Q109</f>
        <v>#VALUE!</v>
      </c>
      <c r="W109" s="67" t="e">
        <f>LEN(T109)</f>
        <v>#VALUE!</v>
      </c>
      <c r="X109" s="67" t="e">
        <f>V109-Q109-1</f>
        <v>#VALUE!</v>
      </c>
      <c r="Y109" s="67" t="e">
        <f>MID(T108,V109-X109,X109)-MID(T108,Q109-R109,R109)+1</f>
        <v>#VALUE!</v>
      </c>
      <c r="Z109" s="67">
        <f>IF(ISERROR(Y109),0,Y109)</f>
        <v>0</v>
      </c>
      <c r="AA109" s="67">
        <f>IF(OR(Z109="",Z109=0),0,1)</f>
        <v>0</v>
      </c>
    </row>
    <row r="110" spans="2:27" ht="15" hidden="1" customHeight="1" x14ac:dyDescent="0.2">
      <c r="C110" s="9" t="s">
        <v>80</v>
      </c>
      <c r="D110" s="9"/>
      <c r="E110" s="9"/>
      <c r="F110" s="187" t="s">
        <v>46</v>
      </c>
      <c r="G110" s="277"/>
      <c r="H110" s="277"/>
      <c r="I110" s="10"/>
      <c r="J110" s="10"/>
      <c r="K110" s="10"/>
      <c r="L110" s="10"/>
      <c r="M110" s="10"/>
      <c r="N110" s="1" t="s">
        <v>342</v>
      </c>
      <c r="O110" s="1"/>
      <c r="P110" s="74"/>
      <c r="Q110" s="67"/>
      <c r="T110" s="67"/>
      <c r="U110" s="67"/>
      <c r="V110" s="67"/>
      <c r="W110" s="67"/>
      <c r="X110" s="67" t="s">
        <v>395</v>
      </c>
      <c r="Y110" s="67" t="e">
        <f>Y104+Y105+Y108+Y109</f>
        <v>#VALUE!</v>
      </c>
      <c r="Z110" s="75">
        <f>Z104+Z105+Z108+Z109</f>
        <v>0</v>
      </c>
      <c r="AA110" s="75">
        <f>AA104+AA105+AA108+AA109</f>
        <v>0</v>
      </c>
    </row>
    <row r="111" spans="2:27" ht="15" hidden="1" customHeight="1" x14ac:dyDescent="0.2">
      <c r="C111" s="11" t="s">
        <v>81</v>
      </c>
      <c r="D111" s="11"/>
      <c r="E111" s="11"/>
      <c r="F111" s="165" t="s">
        <v>88</v>
      </c>
      <c r="G111" s="168"/>
      <c r="H111" s="168"/>
      <c r="I111" s="12"/>
      <c r="J111" s="12"/>
      <c r="K111" s="12"/>
      <c r="L111" s="12"/>
      <c r="M111" s="12"/>
      <c r="N111" s="1" t="s">
        <v>342</v>
      </c>
      <c r="O111" s="1"/>
      <c r="P111" s="74"/>
      <c r="Q111" s="67"/>
      <c r="T111" s="67"/>
      <c r="U111" s="67"/>
      <c r="V111" s="67"/>
      <c r="W111" s="67"/>
      <c r="X111" s="67"/>
      <c r="Y111" s="67"/>
      <c r="Z111" s="67">
        <f>Z110+V102-AA110+X102</f>
        <v>1</v>
      </c>
      <c r="AA111" s="67"/>
    </row>
    <row r="112" spans="2:27" ht="15" hidden="1" customHeight="1" x14ac:dyDescent="0.2">
      <c r="C112" s="11" t="s">
        <v>82</v>
      </c>
      <c r="D112" s="11"/>
      <c r="E112" s="11"/>
      <c r="F112" s="165" t="s">
        <v>89</v>
      </c>
      <c r="G112" s="168"/>
      <c r="H112" s="168"/>
      <c r="I112" s="12"/>
      <c r="J112" s="12"/>
      <c r="K112" s="12"/>
      <c r="L112" s="12"/>
      <c r="M112" s="12"/>
      <c r="N112" s="1" t="s">
        <v>342</v>
      </c>
      <c r="O112" s="1"/>
    </row>
    <row r="113" spans="1:32" ht="15" hidden="1" customHeight="1" x14ac:dyDescent="0.2">
      <c r="C113" s="11" t="s">
        <v>83</v>
      </c>
      <c r="D113" s="11"/>
      <c r="E113" s="11"/>
      <c r="F113" s="165" t="s">
        <v>90</v>
      </c>
      <c r="G113" s="168"/>
      <c r="H113" s="168"/>
      <c r="I113" s="12"/>
      <c r="J113" s="12"/>
      <c r="K113" s="12"/>
      <c r="L113" s="12"/>
      <c r="M113" s="12"/>
      <c r="N113" s="1" t="s">
        <v>342</v>
      </c>
      <c r="O113" s="1"/>
      <c r="P113" s="61"/>
      <c r="Q113" s="72" t="str">
        <f>SUBSTITUTE(SUBSTITUTE(SUBSTITUTE(SUBSTITUTE(SUBSTITUTE(SUBSTITUTE(SUBSTITUTE(LOWER(D58)," ",""),"from",""),",","+"),"and","+"),"&amp;","+"),"++","+"),"to","-")&amp;"+"</f>
        <v>+</v>
      </c>
      <c r="T113" s="72"/>
      <c r="U113" s="72" t="s">
        <v>394</v>
      </c>
      <c r="V113" s="72">
        <f>LEN(Q113)-LEN(SUBSTITUTE(Q113,"+",""))</f>
        <v>1</v>
      </c>
      <c r="W113" s="72"/>
      <c r="X113" s="72">
        <f>IF(RIGHT(Q113,2)="++",-1,0)</f>
        <v>0</v>
      </c>
      <c r="Y113" s="72"/>
      <c r="Z113" s="72">
        <f>LEN(Q113)-LEN(SUBSTITUTE(Q113,"-",""))+LEN(Q113)-LEN(SUBSTITUTE(LOWER(Q113),"to",""))</f>
        <v>0</v>
      </c>
      <c r="AA113" s="72"/>
    </row>
    <row r="114" spans="1:32" ht="15" hidden="1" customHeight="1" x14ac:dyDescent="0.2">
      <c r="C114" s="11" t="s">
        <v>84</v>
      </c>
      <c r="D114" s="11"/>
      <c r="E114" s="11"/>
      <c r="F114" s="165" t="s">
        <v>91</v>
      </c>
      <c r="G114" s="168"/>
      <c r="H114" s="168"/>
      <c r="I114" s="12"/>
      <c r="J114" s="12"/>
      <c r="K114" s="12"/>
      <c r="L114" s="12"/>
      <c r="M114" s="12"/>
      <c r="N114" s="1" t="s">
        <v>342</v>
      </c>
      <c r="O114" s="1"/>
      <c r="P114" s="61" t="s">
        <v>385</v>
      </c>
      <c r="Q114" s="73">
        <f>LEN(Q113)</f>
        <v>1</v>
      </c>
      <c r="T114" s="72"/>
      <c r="U114" s="72"/>
      <c r="V114" s="72"/>
      <c r="W114" s="72"/>
      <c r="X114" s="72"/>
      <c r="Y114" s="72"/>
      <c r="Z114" s="72"/>
      <c r="AA114" s="72"/>
    </row>
    <row r="115" spans="1:32" ht="15" hidden="1" customHeight="1" x14ac:dyDescent="0.2">
      <c r="C115" s="11" t="s">
        <v>85</v>
      </c>
      <c r="D115" s="11"/>
      <c r="E115" s="11"/>
      <c r="F115" s="165"/>
      <c r="G115" s="168"/>
      <c r="H115" s="168"/>
      <c r="I115" s="12"/>
      <c r="J115" s="12"/>
      <c r="K115" s="12"/>
      <c r="L115" s="12"/>
      <c r="M115" s="12"/>
      <c r="N115" s="1" t="s">
        <v>342</v>
      </c>
      <c r="O115" s="1"/>
      <c r="P115" s="74" t="s">
        <v>386</v>
      </c>
      <c r="Q115" s="66" t="e">
        <f>FIND("-",Q113)</f>
        <v>#VALUE!</v>
      </c>
      <c r="R115" s="2">
        <f>IF(ISERROR(IF(MID(Q113,Q115-2,1)="+",1,2)),1,2)</f>
        <v>1</v>
      </c>
      <c r="T115" s="67" t="e">
        <f>REPLACE(Q113,Q115,1,"X")</f>
        <v>#VALUE!</v>
      </c>
      <c r="U115" s="74" t="s">
        <v>390</v>
      </c>
      <c r="V115" s="67" t="e">
        <f>FIND("+",RIGHT(T115,W115-Q115))+Q115</f>
        <v>#VALUE!</v>
      </c>
      <c r="W115" s="67" t="e">
        <f>LEN(T115)</f>
        <v>#VALUE!</v>
      </c>
      <c r="X115" s="67" t="e">
        <f>V115-Q115-1</f>
        <v>#VALUE!</v>
      </c>
      <c r="Y115" s="67" t="e">
        <f>MID(Q113,V115-X115,X115)-MID(Q113,Q115-R115,R115)+1</f>
        <v>#VALUE!</v>
      </c>
      <c r="Z115" s="67">
        <f>IF(ISERROR(Y115),0,Y115)</f>
        <v>0</v>
      </c>
      <c r="AA115" s="67">
        <f>IF(OR(Z115="",Z115=0),0,1)</f>
        <v>0</v>
      </c>
    </row>
    <row r="116" spans="1:32" ht="15" hidden="1" customHeight="1" x14ac:dyDescent="0.2">
      <c r="C116" s="11" t="s">
        <v>86</v>
      </c>
      <c r="D116" s="11"/>
      <c r="E116" s="11"/>
      <c r="F116" s="165" t="s">
        <v>46</v>
      </c>
      <c r="G116" s="168"/>
      <c r="H116" s="168"/>
      <c r="I116" s="12"/>
      <c r="J116" s="12"/>
      <c r="K116" s="12"/>
      <c r="L116" s="12"/>
      <c r="M116" s="12"/>
      <c r="N116" s="1" t="s">
        <v>342</v>
      </c>
      <c r="O116" s="1"/>
      <c r="P116" s="74" t="s">
        <v>387</v>
      </c>
      <c r="Q116" s="66" t="e">
        <f>FIND("-",T115)</f>
        <v>#VALUE!</v>
      </c>
      <c r="R116" s="2" t="e">
        <f>IF(MID(Q113,Q116-2,1)="+",1,2)</f>
        <v>#VALUE!</v>
      </c>
      <c r="T116" s="67" t="e">
        <f>REPLACE(T115,Q116,1,"X")</f>
        <v>#VALUE!</v>
      </c>
      <c r="U116" s="74" t="s">
        <v>391</v>
      </c>
      <c r="V116" s="67" t="e">
        <f>FIND("+",RIGHT(T116,W116-Q116))+Q116</f>
        <v>#VALUE!</v>
      </c>
      <c r="W116" s="67" t="e">
        <f>LEN(T116)</f>
        <v>#VALUE!</v>
      </c>
      <c r="X116" s="67" t="e">
        <f>V116-Q116-1</f>
        <v>#VALUE!</v>
      </c>
      <c r="Y116" s="67" t="e">
        <f>MID(T115,V116-X116,X116)-MID(T115,Q116-R116,R116)+1</f>
        <v>#VALUE!</v>
      </c>
      <c r="Z116" s="67">
        <f>IF(ISERROR(Y116),0,Y116)</f>
        <v>0</v>
      </c>
      <c r="AA116" s="67">
        <f>IF(OR(Z116="",Z116=0),0,1)</f>
        <v>0</v>
      </c>
    </row>
    <row r="117" spans="1:32" ht="15" hidden="1" customHeight="1" thickBot="1" x14ac:dyDescent="0.25">
      <c r="C117" s="13" t="s">
        <v>87</v>
      </c>
      <c r="D117" s="13"/>
      <c r="E117" s="13"/>
      <c r="F117" s="206" t="s">
        <v>46</v>
      </c>
      <c r="G117" s="206"/>
      <c r="H117" s="206"/>
      <c r="I117" s="14"/>
      <c r="J117" s="14"/>
      <c r="K117" s="14"/>
      <c r="L117" s="14"/>
      <c r="M117" s="14"/>
      <c r="N117" s="1" t="s">
        <v>342</v>
      </c>
      <c r="O117" s="1"/>
      <c r="P117" s="74" t="s">
        <v>388</v>
      </c>
      <c r="Q117" s="66" t="e">
        <f>FIND("-",T116)</f>
        <v>#VALUE!</v>
      </c>
      <c r="R117" s="2" t="e">
        <f>IF(MID(Q114,Q117-2,1)="+",1,2)</f>
        <v>#VALUE!</v>
      </c>
      <c r="T117" s="67" t="e">
        <f>REPLACE(T116,Q117,1,"X")</f>
        <v>#VALUE!</v>
      </c>
      <c r="U117" s="74" t="s">
        <v>392</v>
      </c>
      <c r="V117" s="67" t="e">
        <f>FIND("+",RIGHT(T117,W117-Q117))+Q117</f>
        <v>#VALUE!</v>
      </c>
      <c r="W117" s="67" t="e">
        <f>LEN(T117)</f>
        <v>#VALUE!</v>
      </c>
      <c r="X117" s="67" t="e">
        <f>V117-Q117-1</f>
        <v>#VALUE!</v>
      </c>
      <c r="Y117" s="67" t="e">
        <f>MID(T116,V117-X117,X117)-MID(T116,Q117-R117,R117)+1</f>
        <v>#VALUE!</v>
      </c>
      <c r="Z117" s="67">
        <f>IF(ISERROR(Y117),0,Y117)</f>
        <v>0</v>
      </c>
      <c r="AA117" s="67">
        <f>IF(OR(Z117="",Z117=0),0,1)</f>
        <v>0</v>
      </c>
    </row>
    <row r="118" spans="1:32" ht="15" hidden="1" customHeight="1" x14ac:dyDescent="0.2">
      <c r="C118" s="5"/>
      <c r="D118" s="5"/>
      <c r="E118" s="5"/>
      <c r="F118" s="17"/>
      <c r="G118" s="17"/>
      <c r="H118" s="17"/>
      <c r="I118" s="17"/>
      <c r="J118" s="17"/>
      <c r="K118" s="17"/>
      <c r="L118" s="17"/>
      <c r="M118" s="17"/>
      <c r="N118" s="1" t="s">
        <v>342</v>
      </c>
      <c r="O118" s="1"/>
      <c r="P118" s="74" t="s">
        <v>389</v>
      </c>
      <c r="Q118" s="66" t="e">
        <f>FIND("-",T117)</f>
        <v>#VALUE!</v>
      </c>
      <c r="R118" s="2" t="e">
        <f>IF(MID(Q115,Q118-2,1)="+",1,2)</f>
        <v>#VALUE!</v>
      </c>
      <c r="T118" s="67" t="e">
        <f>REPLACE(T117,Q118,1,"X")</f>
        <v>#VALUE!</v>
      </c>
      <c r="U118" s="74" t="s">
        <v>393</v>
      </c>
      <c r="V118" s="67" t="e">
        <f>FIND("+",RIGHT(T118,W118-Q118))+Q118</f>
        <v>#VALUE!</v>
      </c>
      <c r="W118" s="67" t="e">
        <f>LEN(T118)</f>
        <v>#VALUE!</v>
      </c>
      <c r="X118" s="67" t="e">
        <f>V118-Q118-1</f>
        <v>#VALUE!</v>
      </c>
      <c r="Y118" s="67" t="e">
        <f>MID(T117,V118-X118,X118)-MID(T117,Q118-R118,R118)+1</f>
        <v>#VALUE!</v>
      </c>
      <c r="Z118" s="67">
        <f>IF(ISERROR(Y118),0,Y118)</f>
        <v>0</v>
      </c>
      <c r="AA118" s="67">
        <f>IF(OR(Z118="",Z118=0),0,1)</f>
        <v>0</v>
      </c>
    </row>
    <row r="119" spans="1:32" ht="15" customHeight="1" x14ac:dyDescent="0.2">
      <c r="C119" s="191"/>
      <c r="D119" s="198"/>
      <c r="E119" s="198"/>
      <c r="F119" s="198"/>
      <c r="G119" s="198"/>
      <c r="H119" s="198"/>
      <c r="I119" s="198"/>
      <c r="J119" s="198"/>
      <c r="K119" s="198"/>
      <c r="L119" s="198"/>
      <c r="M119" s="198"/>
      <c r="P119" s="74"/>
      <c r="Q119" s="67"/>
      <c r="T119" s="67"/>
      <c r="U119" s="67"/>
      <c r="V119" s="67"/>
      <c r="W119" s="67"/>
      <c r="X119" s="67" t="s">
        <v>395</v>
      </c>
      <c r="Y119" s="67" t="e">
        <f>Y115+Y116+Y117+Y118</f>
        <v>#VALUE!</v>
      </c>
      <c r="Z119" s="75">
        <f>Z115+Z116+Z117+Z118</f>
        <v>0</v>
      </c>
      <c r="AA119" s="75">
        <f>AA115+AA116+AA117+AA118</f>
        <v>0</v>
      </c>
    </row>
    <row r="120" spans="1:32" ht="15" customHeight="1" x14ac:dyDescent="0.2">
      <c r="C120" s="147" t="s">
        <v>402</v>
      </c>
      <c r="D120" s="148"/>
      <c r="E120" s="148"/>
      <c r="F120" s="148"/>
      <c r="G120" s="148"/>
      <c r="H120" s="148"/>
      <c r="I120" s="148"/>
      <c r="J120" s="148"/>
      <c r="K120" s="148"/>
      <c r="L120" s="148"/>
      <c r="M120" s="148"/>
      <c r="O120" s="80">
        <f>SUM(O123:O131)</f>
        <v>1</v>
      </c>
      <c r="P120" s="74"/>
      <c r="Q120" s="67"/>
      <c r="T120" s="67"/>
      <c r="U120" s="67"/>
      <c r="V120" s="67"/>
      <c r="W120" s="67"/>
      <c r="X120" s="67"/>
      <c r="Y120" s="67"/>
      <c r="Z120" s="67">
        <f>Z119+V113-AA119+X113</f>
        <v>1</v>
      </c>
      <c r="AA120" s="67"/>
      <c r="AB120" s="68">
        <f>67+52+1</f>
        <v>120</v>
      </c>
      <c r="AC120" s="68">
        <v>4</v>
      </c>
      <c r="AD120" s="68">
        <f>79+52+1</f>
        <v>132</v>
      </c>
      <c r="AE120" s="68">
        <f>66+52+1</f>
        <v>119</v>
      </c>
      <c r="AF120" s="68">
        <f>81+52+1</f>
        <v>134</v>
      </c>
    </row>
    <row r="121" spans="1:32" ht="9" customHeight="1" x14ac:dyDescent="0.2">
      <c r="A121" s="2" t="s">
        <v>94</v>
      </c>
      <c r="C121" s="149" t="s">
        <v>46</v>
      </c>
      <c r="D121" s="151" t="s">
        <v>92</v>
      </c>
      <c r="E121" s="152"/>
      <c r="F121" s="153"/>
      <c r="G121" s="151" t="s">
        <v>93</v>
      </c>
      <c r="H121" s="152"/>
      <c r="I121" s="153"/>
      <c r="J121" s="151" t="s">
        <v>45</v>
      </c>
      <c r="K121" s="152"/>
      <c r="L121" s="152"/>
      <c r="M121" s="153"/>
      <c r="AB121" s="68"/>
      <c r="AC121" s="68"/>
      <c r="AD121" s="68"/>
      <c r="AE121" s="68"/>
      <c r="AF121" s="68"/>
    </row>
    <row r="122" spans="1:32" ht="9" customHeight="1" x14ac:dyDescent="0.2">
      <c r="A122" s="2" t="s">
        <v>416</v>
      </c>
      <c r="C122" s="150"/>
      <c r="D122" s="154"/>
      <c r="E122" s="155"/>
      <c r="F122" s="156"/>
      <c r="G122" s="154"/>
      <c r="H122" s="155"/>
      <c r="I122" s="156"/>
      <c r="J122" s="154"/>
      <c r="K122" s="155"/>
      <c r="L122" s="155"/>
      <c r="M122" s="156"/>
      <c r="AD122" s="2">
        <v>63</v>
      </c>
    </row>
    <row r="123" spans="1:32" ht="15" customHeight="1" x14ac:dyDescent="0.2">
      <c r="A123" s="2" t="s">
        <v>417</v>
      </c>
      <c r="C123" s="58">
        <f>IF(D123="","",1)</f>
        <v>1</v>
      </c>
      <c r="D123" s="144" t="s">
        <v>410</v>
      </c>
      <c r="E123" s="157"/>
      <c r="F123" s="158"/>
      <c r="G123" s="144" t="s">
        <v>417</v>
      </c>
      <c r="H123" s="145"/>
      <c r="I123" s="146"/>
      <c r="J123" s="144"/>
      <c r="K123" s="145"/>
      <c r="L123" s="145"/>
      <c r="M123" s="146"/>
      <c r="O123" s="83">
        <f t="shared" ref="O123:O132" si="8">IF(COUNTA(D123)=0,0,1)</f>
        <v>1</v>
      </c>
      <c r="P123" s="61"/>
      <c r="Q123" s="72" t="str">
        <f>SUBSTITUTE(SUBSTITUTE(SUBSTITUTE(SUBSTITUTE(SUBSTITUTE(SUBSTITUTE(SUBSTITUTE(LOWER(D59)," ",""),"from",""),",","+"),"and","+"),"&amp;","+"),"++","+"),"to","-")&amp;"+"</f>
        <v>+</v>
      </c>
      <c r="T123" s="72"/>
      <c r="U123" s="72" t="s">
        <v>394</v>
      </c>
      <c r="V123" s="72">
        <f>LEN(Q123)-LEN(SUBSTITUTE(Q123,"+",""))</f>
        <v>1</v>
      </c>
      <c r="W123" s="72"/>
      <c r="X123" s="72">
        <f>IF(RIGHT(Q123,2)="++",-1,0)</f>
        <v>0</v>
      </c>
      <c r="Y123" s="72"/>
      <c r="Z123" s="72">
        <f>LEN(Q123)-LEN(SUBSTITUTE(Q123,"-",""))+LEN(Q123)-LEN(SUBSTITUTE(LOWER(Q123),"to",""))</f>
        <v>0</v>
      </c>
      <c r="AA123" s="72"/>
    </row>
    <row r="124" spans="1:32" ht="15" hidden="1" customHeight="1" x14ac:dyDescent="0.2">
      <c r="A124" s="2" t="s">
        <v>418</v>
      </c>
      <c r="C124" s="58" t="str">
        <f>IF(O124&gt;0,1+C123,"")</f>
        <v/>
      </c>
      <c r="D124" s="144"/>
      <c r="E124" s="145"/>
      <c r="F124" s="146"/>
      <c r="G124" s="144"/>
      <c r="H124" s="145"/>
      <c r="I124" s="146"/>
      <c r="J124" s="144"/>
      <c r="K124" s="145"/>
      <c r="L124" s="145"/>
      <c r="M124" s="146"/>
      <c r="O124" s="83">
        <f t="shared" si="8"/>
        <v>0</v>
      </c>
      <c r="P124" s="61" t="s">
        <v>385</v>
      </c>
      <c r="Q124" s="73">
        <f>LEN(Q123)</f>
        <v>1</v>
      </c>
      <c r="T124" s="72"/>
      <c r="U124" s="72"/>
      <c r="V124" s="72"/>
      <c r="W124" s="72"/>
      <c r="X124" s="72"/>
      <c r="Y124" s="72"/>
      <c r="Z124" s="72"/>
      <c r="AA124" s="72"/>
    </row>
    <row r="125" spans="1:32" ht="15" hidden="1" customHeight="1" x14ac:dyDescent="0.2">
      <c r="A125" s="2" t="s">
        <v>370</v>
      </c>
      <c r="C125" s="58" t="str">
        <f>IF(O125&gt;0,1+C124,"")</f>
        <v/>
      </c>
      <c r="D125" s="144"/>
      <c r="E125" s="157"/>
      <c r="F125" s="158"/>
      <c r="G125" s="144"/>
      <c r="H125" s="145"/>
      <c r="I125" s="146"/>
      <c r="J125" s="144"/>
      <c r="K125" s="145"/>
      <c r="L125" s="145"/>
      <c r="M125" s="146"/>
      <c r="O125" s="26">
        <f t="shared" si="8"/>
        <v>0</v>
      </c>
      <c r="P125" s="74" t="s">
        <v>386</v>
      </c>
      <c r="Q125" s="66" t="e">
        <f>FIND("-",Q123)</f>
        <v>#VALUE!</v>
      </c>
      <c r="R125" s="2">
        <f>IF(ISERROR(IF(MID(Q123,Q125-2,1)="+",1,2)),1,2)</f>
        <v>1</v>
      </c>
      <c r="T125" s="67" t="e">
        <f>REPLACE(Q123,Q125,1,"X")</f>
        <v>#VALUE!</v>
      </c>
      <c r="U125" s="74" t="s">
        <v>390</v>
      </c>
      <c r="V125" s="67" t="e">
        <f>FIND("+",RIGHT(T125,W125-Q125))+Q125</f>
        <v>#VALUE!</v>
      </c>
      <c r="W125" s="67" t="e">
        <f>LEN(T125)</f>
        <v>#VALUE!</v>
      </c>
      <c r="X125" s="67" t="e">
        <f>V125-Q125-1</f>
        <v>#VALUE!</v>
      </c>
      <c r="Y125" s="67" t="e">
        <f>MID(Q123,V125-X125,X125)-MID(Q123,Q125-R125,R125)+1</f>
        <v>#VALUE!</v>
      </c>
      <c r="Z125" s="67">
        <f>IF(ISERROR(Y125),0,Y125)</f>
        <v>0</v>
      </c>
      <c r="AA125" s="67">
        <f>IF(OR(Z125="",Z125=0),0,1)</f>
        <v>0</v>
      </c>
    </row>
    <row r="126" spans="1:32" ht="15" hidden="1" customHeight="1" x14ac:dyDescent="0.2">
      <c r="A126" s="2" t="s">
        <v>405</v>
      </c>
      <c r="C126" s="58" t="str">
        <f t="shared" ref="C126:C132" si="9">IF(O126&gt;0,1+C125,"")</f>
        <v/>
      </c>
      <c r="D126" s="144"/>
      <c r="E126" s="157"/>
      <c r="F126" s="158"/>
      <c r="G126" s="144"/>
      <c r="H126" s="145"/>
      <c r="I126" s="146"/>
      <c r="J126" s="144"/>
      <c r="K126" s="145"/>
      <c r="L126" s="145"/>
      <c r="M126" s="146"/>
      <c r="O126" s="26">
        <f t="shared" si="8"/>
        <v>0</v>
      </c>
      <c r="P126" s="74" t="s">
        <v>387</v>
      </c>
      <c r="Q126" s="66" t="e">
        <f>FIND("-",T125)</f>
        <v>#VALUE!</v>
      </c>
      <c r="R126" s="2" t="e">
        <f>IF(MID(Q123,Q126-2,1)="+",1,2)</f>
        <v>#VALUE!</v>
      </c>
      <c r="T126" s="67" t="e">
        <f>REPLACE(T125,Q126,1,"X")</f>
        <v>#VALUE!</v>
      </c>
      <c r="U126" s="74" t="s">
        <v>391</v>
      </c>
      <c r="V126" s="67" t="e">
        <f>FIND("+",RIGHT(T126,W126-Q126))+Q126</f>
        <v>#VALUE!</v>
      </c>
      <c r="W126" s="67" t="e">
        <f>LEN(T126)</f>
        <v>#VALUE!</v>
      </c>
      <c r="X126" s="67" t="e">
        <f>V126-Q126-1</f>
        <v>#VALUE!</v>
      </c>
      <c r="Y126" s="67" t="e">
        <f>MID(T125,V126-X126,X126)-MID(T125,Q126-R126,R126)+1</f>
        <v>#VALUE!</v>
      </c>
      <c r="Z126" s="67">
        <f>IF(ISERROR(Y126),0,Y126)</f>
        <v>0</v>
      </c>
      <c r="AA126" s="67">
        <f>IF(OR(Z126="",Z126=0),0,1)</f>
        <v>0</v>
      </c>
      <c r="AE126" s="2">
        <f>AB120+AC120+O119</f>
        <v>124</v>
      </c>
      <c r="AF126" s="2">
        <f>80+52</f>
        <v>132</v>
      </c>
    </row>
    <row r="127" spans="1:32" ht="15" hidden="1" customHeight="1" x14ac:dyDescent="0.2">
      <c r="A127" s="2" t="s">
        <v>406</v>
      </c>
      <c r="C127" s="58" t="str">
        <f t="shared" si="9"/>
        <v/>
      </c>
      <c r="D127" s="144"/>
      <c r="E127" s="157"/>
      <c r="F127" s="158"/>
      <c r="G127" s="144"/>
      <c r="H127" s="145"/>
      <c r="I127" s="146"/>
      <c r="J127" s="144"/>
      <c r="K127" s="145"/>
      <c r="L127" s="145"/>
      <c r="M127" s="146"/>
      <c r="O127" s="83">
        <f t="shared" si="8"/>
        <v>0</v>
      </c>
      <c r="P127" s="74"/>
      <c r="Q127" s="66"/>
      <c r="T127" s="67"/>
      <c r="U127" s="74"/>
      <c r="V127" s="67"/>
      <c r="W127" s="67"/>
      <c r="X127" s="67"/>
      <c r="Y127" s="67"/>
      <c r="Z127" s="67"/>
      <c r="AA127" s="67"/>
    </row>
    <row r="128" spans="1:32" ht="15" hidden="1" customHeight="1" x14ac:dyDescent="0.2">
      <c r="A128" s="2" t="s">
        <v>410</v>
      </c>
      <c r="C128" s="58" t="str">
        <f t="shared" si="9"/>
        <v/>
      </c>
      <c r="D128" s="144"/>
      <c r="E128" s="157"/>
      <c r="F128" s="158"/>
      <c r="G128" s="144"/>
      <c r="H128" s="145"/>
      <c r="I128" s="146"/>
      <c r="J128" s="144"/>
      <c r="K128" s="145"/>
      <c r="L128" s="145"/>
      <c r="M128" s="146"/>
      <c r="O128" s="83">
        <f t="shared" si="8"/>
        <v>0</v>
      </c>
      <c r="P128" s="74"/>
      <c r="Q128" s="66"/>
      <c r="T128" s="67"/>
      <c r="U128" s="74"/>
      <c r="V128" s="67"/>
      <c r="W128" s="67"/>
      <c r="X128" s="67"/>
      <c r="Y128" s="67"/>
      <c r="Z128" s="67"/>
      <c r="AA128" s="67"/>
    </row>
    <row r="129" spans="1:27" ht="15" hidden="1" customHeight="1" x14ac:dyDescent="0.2">
      <c r="A129" s="2" t="s">
        <v>407</v>
      </c>
      <c r="C129" s="58" t="str">
        <f t="shared" si="9"/>
        <v/>
      </c>
      <c r="D129" s="144"/>
      <c r="E129" s="157"/>
      <c r="F129" s="158"/>
      <c r="G129" s="144"/>
      <c r="H129" s="145"/>
      <c r="I129" s="146"/>
      <c r="J129" s="144"/>
      <c r="K129" s="145"/>
      <c r="L129" s="145"/>
      <c r="M129" s="146"/>
      <c r="O129" s="83">
        <f t="shared" si="8"/>
        <v>0</v>
      </c>
      <c r="P129" s="74"/>
      <c r="Q129" s="66"/>
      <c r="T129" s="67"/>
      <c r="U129" s="74"/>
      <c r="V129" s="67"/>
      <c r="W129" s="67"/>
      <c r="X129" s="67"/>
      <c r="Y129" s="67"/>
      <c r="Z129" s="67"/>
      <c r="AA129" s="67"/>
    </row>
    <row r="130" spans="1:27" ht="15" hidden="1" customHeight="1" x14ac:dyDescent="0.2">
      <c r="A130" s="2" t="s">
        <v>408</v>
      </c>
      <c r="C130" s="58" t="str">
        <f t="shared" si="9"/>
        <v/>
      </c>
      <c r="D130" s="144"/>
      <c r="E130" s="157"/>
      <c r="F130" s="158"/>
      <c r="G130" s="144"/>
      <c r="H130" s="145"/>
      <c r="I130" s="146"/>
      <c r="J130" s="144"/>
      <c r="K130" s="145"/>
      <c r="L130" s="145"/>
      <c r="M130" s="146"/>
      <c r="O130" s="83">
        <f t="shared" si="8"/>
        <v>0</v>
      </c>
      <c r="P130" s="74"/>
      <c r="Q130" s="66"/>
      <c r="T130" s="67"/>
      <c r="U130" s="74"/>
      <c r="V130" s="67"/>
      <c r="W130" s="67"/>
      <c r="X130" s="67"/>
      <c r="Y130" s="67"/>
      <c r="Z130" s="67"/>
      <c r="AA130" s="67"/>
    </row>
    <row r="131" spans="1:27" ht="15" hidden="1" customHeight="1" x14ac:dyDescent="0.2">
      <c r="A131" s="2" t="s">
        <v>373</v>
      </c>
      <c r="C131" s="58" t="str">
        <f t="shared" si="9"/>
        <v/>
      </c>
      <c r="D131" s="144"/>
      <c r="E131" s="157"/>
      <c r="F131" s="158"/>
      <c r="G131" s="144"/>
      <c r="H131" s="145"/>
      <c r="I131" s="146"/>
      <c r="J131" s="144"/>
      <c r="K131" s="145"/>
      <c r="L131" s="145"/>
      <c r="M131" s="146"/>
      <c r="O131" s="83">
        <f t="shared" si="8"/>
        <v>0</v>
      </c>
      <c r="P131" s="74"/>
      <c r="Q131" s="66"/>
      <c r="T131" s="67"/>
      <c r="U131" s="74"/>
      <c r="V131" s="67"/>
      <c r="W131" s="67"/>
      <c r="X131" s="67"/>
      <c r="Y131" s="67"/>
      <c r="Z131" s="67"/>
      <c r="AA131" s="67"/>
    </row>
    <row r="132" spans="1:27" ht="15" hidden="1" customHeight="1" x14ac:dyDescent="0.2">
      <c r="A132" s="2" t="s">
        <v>419</v>
      </c>
      <c r="C132" s="58" t="str">
        <f t="shared" si="9"/>
        <v/>
      </c>
      <c r="D132" s="144"/>
      <c r="E132" s="157"/>
      <c r="F132" s="158"/>
      <c r="G132" s="144"/>
      <c r="H132" s="145"/>
      <c r="I132" s="146"/>
      <c r="J132" s="144"/>
      <c r="K132" s="145"/>
      <c r="L132" s="145"/>
      <c r="M132" s="146"/>
      <c r="O132" s="26">
        <f t="shared" si="8"/>
        <v>0</v>
      </c>
      <c r="P132" s="74"/>
      <c r="Q132" s="66"/>
      <c r="T132" s="67"/>
      <c r="U132" s="74"/>
      <c r="V132" s="67"/>
      <c r="W132" s="67"/>
      <c r="X132" s="67"/>
      <c r="Y132" s="67"/>
      <c r="Z132" s="67"/>
      <c r="AA132" s="67"/>
    </row>
    <row r="133" spans="1:27" ht="15" hidden="1" customHeight="1" x14ac:dyDescent="0.2">
      <c r="A133" s="2" t="s">
        <v>420</v>
      </c>
      <c r="C133" s="84"/>
      <c r="D133" s="99"/>
      <c r="E133" s="100"/>
      <c r="F133" s="100"/>
      <c r="G133" s="99"/>
      <c r="H133" s="99"/>
      <c r="I133" s="99"/>
      <c r="J133" s="84"/>
      <c r="K133" s="84"/>
      <c r="L133" s="84"/>
      <c r="M133" s="84"/>
      <c r="O133" s="83"/>
      <c r="P133" s="74"/>
      <c r="Q133" s="66"/>
      <c r="T133" s="67"/>
      <c r="U133" s="74"/>
      <c r="V133" s="67"/>
      <c r="W133" s="67"/>
      <c r="X133" s="67"/>
      <c r="Y133" s="67"/>
      <c r="Z133" s="67"/>
      <c r="AA133" s="67"/>
    </row>
    <row r="134" spans="1:27" ht="15" customHeight="1" thickBot="1" x14ac:dyDescent="0.25">
      <c r="A134" s="2" t="s">
        <v>409</v>
      </c>
      <c r="C134" s="278"/>
      <c r="D134" s="279"/>
      <c r="E134" s="279"/>
      <c r="F134" s="279"/>
      <c r="G134" s="279"/>
      <c r="H134" s="279"/>
      <c r="I134" s="279"/>
      <c r="J134" s="279"/>
      <c r="K134" s="279"/>
      <c r="L134" s="279"/>
      <c r="M134" s="279"/>
      <c r="P134" s="74" t="s">
        <v>388</v>
      </c>
      <c r="Q134" s="66" t="e">
        <f>FIND("-",T126)</f>
        <v>#VALUE!</v>
      </c>
      <c r="R134" s="2" t="e">
        <f>IF(MID(Q124,Q134-2,1)="+",1,2)</f>
        <v>#VALUE!</v>
      </c>
      <c r="T134" s="67" t="e">
        <f>REPLACE(T126,Q134,1,"X")</f>
        <v>#VALUE!</v>
      </c>
      <c r="U134" s="74" t="s">
        <v>392</v>
      </c>
      <c r="V134" s="67" t="e">
        <f>FIND("+",RIGHT(T134,W134-Q134))+Q134</f>
        <v>#VALUE!</v>
      </c>
      <c r="W134" s="67" t="e">
        <f>LEN(T134)</f>
        <v>#VALUE!</v>
      </c>
      <c r="X134" s="67" t="e">
        <f>V134-Q134-1</f>
        <v>#VALUE!</v>
      </c>
      <c r="Y134" s="67" t="e">
        <f>MID(T126,V134-X134,X134)-MID(T126,Q134-R134,R134)+1</f>
        <v>#VALUE!</v>
      </c>
      <c r="Z134" s="67">
        <f>IF(ISERROR(Y134),0,Y134)</f>
        <v>0</v>
      </c>
      <c r="AA134" s="67">
        <f>IF(OR(Z134="",Z134=0),0,1)</f>
        <v>0</v>
      </c>
    </row>
    <row r="135" spans="1:27" ht="15" customHeight="1" x14ac:dyDescent="0.2">
      <c r="C135" s="184"/>
      <c r="D135" s="185"/>
      <c r="E135" s="185"/>
      <c r="F135" s="185"/>
      <c r="G135" s="185"/>
      <c r="H135" s="185"/>
      <c r="I135" s="185"/>
      <c r="J135" s="185"/>
      <c r="K135" s="185"/>
      <c r="L135" s="185"/>
      <c r="M135" s="185"/>
      <c r="P135" s="74" t="s">
        <v>389</v>
      </c>
      <c r="Q135" s="66" t="e">
        <f>FIND("-",T134)</f>
        <v>#VALUE!</v>
      </c>
      <c r="R135" s="2" t="e">
        <f>IF(MID(Q125,Q135-2,1)="+",1,2)</f>
        <v>#VALUE!</v>
      </c>
      <c r="T135" s="67" t="e">
        <f>REPLACE(T134,Q135,1,"X")</f>
        <v>#VALUE!</v>
      </c>
      <c r="U135" s="74" t="s">
        <v>393</v>
      </c>
      <c r="V135" s="67" t="e">
        <f>FIND("+",RIGHT(T135,W135-Q135))+Q135</f>
        <v>#VALUE!</v>
      </c>
      <c r="W135" s="67" t="e">
        <f>LEN(T135)</f>
        <v>#VALUE!</v>
      </c>
      <c r="X135" s="67" t="e">
        <f>V135-Q135-1</f>
        <v>#VALUE!</v>
      </c>
      <c r="Y135" s="67" t="e">
        <f>MID(T134,V135-X135,X135)-MID(T134,Q135-R135,R135)+1</f>
        <v>#VALUE!</v>
      </c>
      <c r="Z135" s="67">
        <f>IF(ISERROR(Y135),0,Y135)</f>
        <v>0</v>
      </c>
      <c r="AA135" s="67">
        <f>IF(OR(Z135="",Z135=0),0,1)</f>
        <v>0</v>
      </c>
    </row>
    <row r="136" spans="1:27" ht="15" hidden="1" customHeight="1" x14ac:dyDescent="0.2">
      <c r="C136" s="40" t="s">
        <v>95</v>
      </c>
      <c r="D136" s="1"/>
      <c r="E136" s="1"/>
      <c r="F136" s="1"/>
      <c r="G136" s="1"/>
      <c r="H136" s="1"/>
      <c r="I136" s="1"/>
      <c r="J136" s="1"/>
      <c r="K136" s="1"/>
      <c r="L136" s="1"/>
      <c r="M136" s="1"/>
      <c r="N136" s="2" t="s">
        <v>342</v>
      </c>
      <c r="P136" s="74"/>
      <c r="Q136" s="67"/>
      <c r="T136" s="67"/>
      <c r="U136" s="67"/>
      <c r="V136" s="67"/>
      <c r="W136" s="67"/>
      <c r="X136" s="67" t="s">
        <v>395</v>
      </c>
      <c r="Y136" s="67" t="e">
        <f>Y125+Y126+Y134+Y135</f>
        <v>#VALUE!</v>
      </c>
      <c r="Z136" s="75">
        <f>Z125+Z126+Z134+Z135</f>
        <v>0</v>
      </c>
      <c r="AA136" s="75">
        <f>AA125+AA126+AA134+AA135</f>
        <v>0</v>
      </c>
    </row>
    <row r="137" spans="1:27" ht="15" hidden="1" customHeight="1" thickBot="1" x14ac:dyDescent="0.25">
      <c r="C137" s="276" t="s">
        <v>96</v>
      </c>
      <c r="D137" s="276"/>
      <c r="E137" s="91"/>
      <c r="F137" s="91"/>
      <c r="G137" s="91"/>
      <c r="H137" s="91"/>
      <c r="I137" s="91"/>
      <c r="J137" s="91"/>
      <c r="K137" s="91"/>
      <c r="L137" s="91"/>
      <c r="M137" s="91"/>
      <c r="N137" s="2" t="s">
        <v>342</v>
      </c>
      <c r="P137" s="74"/>
      <c r="Q137" s="67"/>
      <c r="T137" s="67"/>
      <c r="U137" s="67"/>
      <c r="V137" s="67"/>
      <c r="W137" s="67"/>
      <c r="X137" s="67"/>
      <c r="Y137" s="67"/>
      <c r="Z137" s="67">
        <f>Z136+V123-AA136+X123</f>
        <v>1</v>
      </c>
      <c r="AA137" s="67"/>
    </row>
    <row r="138" spans="1:27" ht="15" hidden="1" customHeight="1" x14ac:dyDescent="0.2">
      <c r="C138" s="5"/>
      <c r="D138" s="5"/>
      <c r="E138" s="5"/>
      <c r="F138" s="5"/>
      <c r="G138" s="5"/>
      <c r="H138" s="5"/>
      <c r="I138" s="5"/>
      <c r="J138" s="5"/>
      <c r="K138" s="5"/>
      <c r="L138" s="5"/>
      <c r="M138" s="5"/>
      <c r="N138" s="2" t="s">
        <v>342</v>
      </c>
    </row>
    <row r="139" spans="1:27" ht="15" customHeight="1" x14ac:dyDescent="0.2">
      <c r="C139" s="191" t="s">
        <v>403</v>
      </c>
      <c r="D139" s="198"/>
      <c r="E139" s="198"/>
      <c r="F139" s="198"/>
      <c r="G139" s="198"/>
      <c r="H139" s="198"/>
      <c r="I139" s="198"/>
      <c r="J139" s="198"/>
      <c r="K139" s="198"/>
      <c r="L139" s="198"/>
      <c r="M139" s="198"/>
      <c r="P139" s="61"/>
      <c r="Q139" s="72" t="str">
        <f>SUBSTITUTE(SUBSTITUTE(SUBSTITUTE(SUBSTITUTE(SUBSTITUTE(SUBSTITUTE(SUBSTITUTE(LOWER(D60)," ",""),"from",""),",","+"),"and","+"),"&amp;","+"),"++","+"),"to","-")&amp;"+"</f>
        <v>+</v>
      </c>
      <c r="T139" s="72"/>
      <c r="U139" s="72" t="s">
        <v>394</v>
      </c>
      <c r="V139" s="72">
        <f>LEN(Q139)-LEN(SUBSTITUTE(Q139,"+",""))</f>
        <v>1</v>
      </c>
      <c r="W139" s="72"/>
      <c r="X139" s="72">
        <f>IF(RIGHT(Q139,2)="++",-1,0)</f>
        <v>0</v>
      </c>
      <c r="Y139" s="72"/>
      <c r="Z139" s="72">
        <f>LEN(Q139)-LEN(SUBSTITUTE(Q139,"-",""))+LEN(Q139)-LEN(SUBSTITUTE(LOWER(Q139),"to",""))</f>
        <v>0</v>
      </c>
      <c r="AA139" s="72"/>
    </row>
    <row r="140" spans="1:27" ht="15" customHeight="1" thickBot="1" x14ac:dyDescent="0.25">
      <c r="A140" s="2" t="s">
        <v>384</v>
      </c>
      <c r="C140" s="255" t="s">
        <v>384</v>
      </c>
      <c r="D140" s="255"/>
      <c r="E140" s="257" t="s">
        <v>45</v>
      </c>
      <c r="F140" s="257"/>
      <c r="G140" s="256"/>
      <c r="H140" s="256"/>
      <c r="I140" s="256"/>
      <c r="J140" s="256"/>
      <c r="K140" s="256"/>
      <c r="L140" s="256"/>
      <c r="M140" s="256"/>
      <c r="P140" s="61" t="s">
        <v>385</v>
      </c>
      <c r="Q140" s="73">
        <f>LEN(Q139)</f>
        <v>1</v>
      </c>
      <c r="T140" s="72"/>
      <c r="U140" s="72"/>
      <c r="V140" s="72"/>
      <c r="W140" s="72"/>
      <c r="X140" s="72"/>
      <c r="Y140" s="72"/>
      <c r="Z140" s="72"/>
      <c r="AA140" s="72"/>
    </row>
    <row r="141" spans="1:27" ht="15" customHeight="1" x14ac:dyDescent="0.2">
      <c r="A141" s="2" t="s">
        <v>421</v>
      </c>
      <c r="C141" s="184"/>
      <c r="D141" s="185"/>
      <c r="E141" s="185"/>
      <c r="F141" s="185"/>
      <c r="G141" s="185"/>
      <c r="H141" s="185"/>
      <c r="I141" s="185"/>
      <c r="J141" s="185"/>
      <c r="K141" s="185"/>
      <c r="L141" s="185"/>
      <c r="M141" s="185"/>
      <c r="P141" s="74" t="s">
        <v>386</v>
      </c>
      <c r="Q141" s="66" t="e">
        <f>FIND("-",Q139)</f>
        <v>#VALUE!</v>
      </c>
      <c r="R141" s="2">
        <f>IF(ISERROR(IF(MID(Q139,Q141-2,1)="+",1,2)),1,2)</f>
        <v>1</v>
      </c>
      <c r="T141" s="67" t="e">
        <f>REPLACE(Q139,Q141,1,"X")</f>
        <v>#VALUE!</v>
      </c>
      <c r="U141" s="74" t="s">
        <v>390</v>
      </c>
      <c r="V141" s="67" t="e">
        <f>FIND("+",RIGHT(T141,W141-Q141))+Q141</f>
        <v>#VALUE!</v>
      </c>
      <c r="W141" s="67" t="e">
        <f>LEN(T141)</f>
        <v>#VALUE!</v>
      </c>
      <c r="X141" s="67" t="e">
        <f>V141-Q141-1</f>
        <v>#VALUE!</v>
      </c>
      <c r="Y141" s="67" t="e">
        <f>MID(Q139,V141-X141,X141)-MID(Q139,Q141-R141,R141)+1</f>
        <v>#VALUE!</v>
      </c>
      <c r="Z141" s="67">
        <f>IF(ISERROR(Y141),0,Y141)</f>
        <v>0</v>
      </c>
      <c r="AA141" s="67">
        <f>IF(OR(Z141="",Z141=0),0,1)</f>
        <v>0</v>
      </c>
    </row>
    <row r="142" spans="1:27" ht="15" customHeight="1" x14ac:dyDescent="0.2">
      <c r="A142" s="2" t="s">
        <v>422</v>
      </c>
      <c r="C142" s="191" t="s">
        <v>404</v>
      </c>
      <c r="D142" s="191"/>
      <c r="E142" s="191"/>
      <c r="F142" s="191"/>
      <c r="G142" s="191"/>
      <c r="H142" s="191"/>
      <c r="I142" s="191"/>
      <c r="J142" s="191"/>
      <c r="K142" s="191"/>
      <c r="L142" s="191"/>
      <c r="M142" s="191"/>
      <c r="P142" s="74" t="s">
        <v>387</v>
      </c>
      <c r="Q142" s="66" t="e">
        <f>FIND("-",T141)</f>
        <v>#VALUE!</v>
      </c>
      <c r="R142" s="2" t="e">
        <f>IF(MID(Q139,Q142-2,1)="+",1,2)</f>
        <v>#VALUE!</v>
      </c>
      <c r="T142" s="67" t="e">
        <f>REPLACE(T141,Q142,1,"X")</f>
        <v>#VALUE!</v>
      </c>
      <c r="U142" s="74" t="s">
        <v>391</v>
      </c>
      <c r="V142" s="67" t="e">
        <f>FIND("+",RIGHT(T142,W142-Q142))+Q142</f>
        <v>#VALUE!</v>
      </c>
      <c r="W142" s="67" t="e">
        <f>LEN(T142)</f>
        <v>#VALUE!</v>
      </c>
      <c r="X142" s="67" t="e">
        <f>V142-Q142-1</f>
        <v>#VALUE!</v>
      </c>
      <c r="Y142" s="67" t="e">
        <f>MID(T141,V142-X142,X142)-MID(T141,Q142-R142,R142)+1</f>
        <v>#VALUE!</v>
      </c>
      <c r="Z142" s="67">
        <f>IF(ISERROR(Y142),0,Y142)</f>
        <v>0</v>
      </c>
      <c r="AA142" s="67">
        <f>IF(OR(Z142="",Z142=0),0,1)</f>
        <v>0</v>
      </c>
    </row>
    <row r="143" spans="1:27" ht="15" customHeight="1" x14ac:dyDescent="0.2">
      <c r="A143" s="2" t="s">
        <v>423</v>
      </c>
      <c r="C143" s="186" t="s">
        <v>97</v>
      </c>
      <c r="D143" s="148"/>
      <c r="E143" s="148"/>
      <c r="F143" s="187" t="s">
        <v>454</v>
      </c>
      <c r="G143" s="188"/>
      <c r="H143" s="189"/>
      <c r="I143" s="148"/>
      <c r="J143" s="148"/>
      <c r="K143" s="148"/>
      <c r="L143" s="148"/>
      <c r="M143" s="148"/>
      <c r="P143" s="74" t="s">
        <v>388</v>
      </c>
      <c r="Q143" s="66" t="e">
        <f>FIND("-",T142)</f>
        <v>#VALUE!</v>
      </c>
      <c r="R143" s="2" t="e">
        <f>IF(MID(Q140,Q143-2,1)="+",1,2)</f>
        <v>#VALUE!</v>
      </c>
      <c r="T143" s="67" t="e">
        <f>REPLACE(T142,Q143,1,"X")</f>
        <v>#VALUE!</v>
      </c>
      <c r="U143" s="74" t="s">
        <v>392</v>
      </c>
      <c r="V143" s="67" t="e">
        <f>FIND("+",RIGHT(T143,W143-Q143))+Q143</f>
        <v>#VALUE!</v>
      </c>
      <c r="W143" s="67" t="e">
        <f>LEN(T143)</f>
        <v>#VALUE!</v>
      </c>
      <c r="X143" s="67" t="e">
        <f>V143-Q143-1</f>
        <v>#VALUE!</v>
      </c>
      <c r="Y143" s="67" t="e">
        <f>MID(T142,V143-X143,X143)-MID(T142,Q143-R143,R143)+1</f>
        <v>#VALUE!</v>
      </c>
      <c r="Z143" s="67">
        <f>IF(ISERROR(Y143),0,Y143)</f>
        <v>0</v>
      </c>
      <c r="AA143" s="67">
        <f>IF(OR(Z143="",Z143=0),0,1)</f>
        <v>0</v>
      </c>
    </row>
    <row r="144" spans="1:27" ht="15" hidden="1" customHeight="1" x14ac:dyDescent="0.2">
      <c r="C144" s="175" t="s">
        <v>98</v>
      </c>
      <c r="D144" s="176"/>
      <c r="E144" s="176"/>
      <c r="F144" s="165" t="s">
        <v>378</v>
      </c>
      <c r="G144" s="165"/>
      <c r="H144" s="190"/>
      <c r="I144" s="176"/>
      <c r="J144" s="176"/>
      <c r="K144" s="176"/>
      <c r="L144" s="176"/>
      <c r="M144" s="176"/>
      <c r="P144" s="74" t="s">
        <v>389</v>
      </c>
      <c r="Q144" s="66" t="e">
        <f>FIND("-",T143)</f>
        <v>#VALUE!</v>
      </c>
      <c r="R144" s="2" t="e">
        <f>IF(MID(Q141,Q144-2,1)="+",1,2)</f>
        <v>#VALUE!</v>
      </c>
      <c r="T144" s="67" t="e">
        <f>REPLACE(T143,Q144,1,"X")</f>
        <v>#VALUE!</v>
      </c>
      <c r="U144" s="74" t="s">
        <v>393</v>
      </c>
      <c r="V144" s="67" t="e">
        <f>FIND("+",RIGHT(T144,W144-Q144))+Q144</f>
        <v>#VALUE!</v>
      </c>
      <c r="W144" s="67" t="e">
        <f>LEN(T144)</f>
        <v>#VALUE!</v>
      </c>
      <c r="X144" s="67" t="e">
        <f>V144-Q144-1</f>
        <v>#VALUE!</v>
      </c>
      <c r="Y144" s="67" t="e">
        <f>MID(T143,V144-X144,X144)-MID(T143,Q144-R144,R144)+1</f>
        <v>#VALUE!</v>
      </c>
      <c r="Z144" s="67">
        <f>IF(ISERROR(Y144),0,Y144)</f>
        <v>0</v>
      </c>
      <c r="AA144" s="67">
        <f>IF(OR(Z144="",Z144=0),0,1)</f>
        <v>0</v>
      </c>
    </row>
    <row r="145" spans="1:27" ht="15" customHeight="1" x14ac:dyDescent="0.2">
      <c r="C145" s="175" t="s">
        <v>445</v>
      </c>
      <c r="D145" s="176"/>
      <c r="E145" s="176"/>
      <c r="F145" s="165" t="s">
        <v>382</v>
      </c>
      <c r="G145" s="165"/>
      <c r="H145" s="190"/>
      <c r="I145" s="176"/>
      <c r="J145" s="176"/>
      <c r="K145" s="176"/>
      <c r="L145" s="176"/>
      <c r="M145" s="176"/>
      <c r="P145" s="74"/>
      <c r="Q145" s="67"/>
      <c r="T145" s="67"/>
      <c r="U145" s="67"/>
      <c r="V145" s="67"/>
      <c r="W145" s="67"/>
      <c r="X145" s="67" t="s">
        <v>395</v>
      </c>
      <c r="Y145" s="67" t="e">
        <f>Y141+Y142+Y143+Y144</f>
        <v>#VALUE!</v>
      </c>
      <c r="Z145" s="75">
        <f>Z141+Z142+Z143+Z144</f>
        <v>0</v>
      </c>
      <c r="AA145" s="75">
        <f>AA141+AA142+AA143+AA144</f>
        <v>0</v>
      </c>
    </row>
    <row r="146" spans="1:27" ht="15" customHeight="1" x14ac:dyDescent="0.2">
      <c r="A146" s="2" t="s">
        <v>377</v>
      </c>
      <c r="C146" s="175" t="s">
        <v>446</v>
      </c>
      <c r="D146" s="176"/>
      <c r="E146" s="176"/>
      <c r="F146" s="165" t="s">
        <v>451</v>
      </c>
      <c r="G146" s="165"/>
      <c r="H146" s="190"/>
      <c r="I146" s="176"/>
      <c r="J146" s="176"/>
      <c r="K146" s="176"/>
      <c r="L146" s="176"/>
      <c r="M146" s="176"/>
      <c r="P146" s="74"/>
      <c r="Q146" s="67"/>
      <c r="T146" s="67"/>
      <c r="U146" s="67"/>
      <c r="V146" s="67"/>
      <c r="W146" s="67"/>
      <c r="X146" s="67"/>
      <c r="Y146" s="67"/>
      <c r="Z146" s="67">
        <f>Z145+V139-AA145+X139</f>
        <v>1</v>
      </c>
      <c r="AA146" s="67"/>
    </row>
    <row r="147" spans="1:27" ht="15" customHeight="1" thickBot="1" x14ac:dyDescent="0.25">
      <c r="A147" s="2" t="s">
        <v>374</v>
      </c>
      <c r="C147" s="182"/>
      <c r="D147" s="183"/>
      <c r="E147" s="183"/>
      <c r="F147" s="183"/>
      <c r="G147" s="183"/>
      <c r="H147" s="183"/>
      <c r="I147" s="183"/>
      <c r="J147" s="183"/>
      <c r="K147" s="183"/>
      <c r="L147" s="183"/>
      <c r="M147" s="183"/>
    </row>
    <row r="148" spans="1:27" ht="15" customHeight="1" x14ac:dyDescent="0.2">
      <c r="A148" s="2" t="s">
        <v>376</v>
      </c>
      <c r="P148" s="61"/>
      <c r="Q148" s="72" t="str">
        <f>SUBSTITUTE(SUBSTITUTE(SUBSTITUTE(SUBSTITUTE(SUBSTITUTE(SUBSTITUTE(SUBSTITUTE(LOWER(D61)," ",""),"from",""),",","+"),"and","+"),"&amp;","+"),"++","+"),"to","-")&amp;"+"</f>
        <v>+</v>
      </c>
      <c r="T148" s="72"/>
      <c r="U148" s="72" t="s">
        <v>394</v>
      </c>
      <c r="V148" s="72">
        <f>LEN(Q148)-LEN(SUBSTITUTE(Q148,"+",""))</f>
        <v>1</v>
      </c>
      <c r="W148" s="72"/>
      <c r="X148" s="72">
        <f>IF(RIGHT(Q148,2)="++",-1,0)</f>
        <v>0</v>
      </c>
      <c r="Y148" s="72"/>
      <c r="Z148" s="72">
        <f>LEN(Q148)-LEN(SUBSTITUTE(Q148,"-",""))+LEN(Q148)-LEN(SUBSTITUTE(LOWER(Q148),"to",""))</f>
        <v>0</v>
      </c>
      <c r="AA148" s="72"/>
    </row>
    <row r="149" spans="1:27" ht="15" customHeight="1" x14ac:dyDescent="0.2">
      <c r="A149" s="2" t="s">
        <v>442</v>
      </c>
      <c r="P149" s="61" t="s">
        <v>385</v>
      </c>
      <c r="Q149" s="73">
        <f>LEN(Q148)</f>
        <v>1</v>
      </c>
      <c r="T149" s="72"/>
      <c r="U149" s="72"/>
      <c r="V149" s="72"/>
      <c r="W149" s="72"/>
      <c r="X149" s="72"/>
      <c r="Y149" s="72"/>
      <c r="Z149" s="72"/>
      <c r="AA149" s="72"/>
    </row>
    <row r="150" spans="1:27" ht="15" customHeight="1" x14ac:dyDescent="0.2">
      <c r="A150" s="2" t="s">
        <v>375</v>
      </c>
      <c r="P150" s="74" t="s">
        <v>386</v>
      </c>
      <c r="Q150" s="66" t="e">
        <f>FIND("-",Q148)</f>
        <v>#VALUE!</v>
      </c>
      <c r="R150" s="2">
        <f>IF(ISERROR(IF(MID(Q148,Q150-2,1)="+",1,2)),1,2)</f>
        <v>1</v>
      </c>
      <c r="T150" s="67" t="e">
        <f>REPLACE(Q148,Q150,1,"X")</f>
        <v>#VALUE!</v>
      </c>
      <c r="U150" s="74" t="s">
        <v>390</v>
      </c>
      <c r="V150" s="67" t="e">
        <f>FIND("+",RIGHT(T150,W150-Q150))+Q150</f>
        <v>#VALUE!</v>
      </c>
      <c r="W150" s="67" t="e">
        <f>LEN(T150)</f>
        <v>#VALUE!</v>
      </c>
      <c r="X150" s="67" t="e">
        <f>V150-Q150-1</f>
        <v>#VALUE!</v>
      </c>
      <c r="Y150" s="67" t="e">
        <f>MID(Q148,V150-X150,X150)-MID(Q148,Q150-R150,R150)+1</f>
        <v>#VALUE!</v>
      </c>
      <c r="Z150" s="67">
        <f>IF(ISERROR(Y150),0,Y150)</f>
        <v>0</v>
      </c>
      <c r="AA150" s="67">
        <f>IF(OR(Z150="",Z150=0),0,1)</f>
        <v>0</v>
      </c>
    </row>
    <row r="151" spans="1:27" ht="15" customHeight="1" x14ac:dyDescent="0.2">
      <c r="A151" s="2" t="s">
        <v>378</v>
      </c>
      <c r="P151" s="74" t="s">
        <v>387</v>
      </c>
      <c r="Q151" s="66" t="e">
        <f>FIND("-",T150)</f>
        <v>#VALUE!</v>
      </c>
      <c r="R151" s="2" t="e">
        <f>IF(MID(Q148,Q151-2,1)="+",1,2)</f>
        <v>#VALUE!</v>
      </c>
      <c r="T151" s="67" t="e">
        <f>REPLACE(T150,Q151,1,"X")</f>
        <v>#VALUE!</v>
      </c>
      <c r="U151" s="74" t="s">
        <v>391</v>
      </c>
      <c r="V151" s="67" t="e">
        <f>FIND("+",RIGHT(T151,W151-Q151))+Q151</f>
        <v>#VALUE!</v>
      </c>
      <c r="W151" s="67" t="e">
        <f>LEN(T151)</f>
        <v>#VALUE!</v>
      </c>
      <c r="X151" s="67" t="e">
        <f>V151-Q151-1</f>
        <v>#VALUE!</v>
      </c>
      <c r="Y151" s="67" t="e">
        <f>MID(T150,V151-X151,X151)-MID(T150,Q151-R151,R151)+1</f>
        <v>#VALUE!</v>
      </c>
      <c r="Z151" s="67">
        <f>IF(ISERROR(Y151),0,Y151)</f>
        <v>0</v>
      </c>
      <c r="AA151" s="67">
        <f>IF(OR(Z151="",Z151=0),0,1)</f>
        <v>0</v>
      </c>
    </row>
    <row r="152" spans="1:27" ht="15" customHeight="1" x14ac:dyDescent="0.2">
      <c r="P152" s="74" t="s">
        <v>388</v>
      </c>
      <c r="Q152" s="66" t="e">
        <f>FIND("-",T151)</f>
        <v>#VALUE!</v>
      </c>
      <c r="R152" s="2" t="e">
        <f>IF(MID(Q149,Q152-2,1)="+",1,2)</f>
        <v>#VALUE!</v>
      </c>
      <c r="T152" s="67" t="e">
        <f>REPLACE(T151,Q152,1,"X")</f>
        <v>#VALUE!</v>
      </c>
      <c r="U152" s="74" t="s">
        <v>392</v>
      </c>
      <c r="V152" s="67" t="e">
        <f>FIND("+",RIGHT(T152,W152-Q152))+Q152</f>
        <v>#VALUE!</v>
      </c>
      <c r="W152" s="67" t="e">
        <f>LEN(T152)</f>
        <v>#VALUE!</v>
      </c>
      <c r="X152" s="67" t="e">
        <f>V152-Q152-1</f>
        <v>#VALUE!</v>
      </c>
      <c r="Y152" s="67" t="e">
        <f>MID(T151,V152-X152,X152)-MID(T151,Q152-R152,R152)+1</f>
        <v>#VALUE!</v>
      </c>
      <c r="Z152" s="67">
        <f>IF(ISERROR(Y152),0,Y152)</f>
        <v>0</v>
      </c>
      <c r="AA152" s="67">
        <f>IF(OR(Z152="",Z152=0),0,1)</f>
        <v>0</v>
      </c>
    </row>
    <row r="153" spans="1:27" ht="15" customHeight="1" x14ac:dyDescent="0.2">
      <c r="P153" s="74" t="s">
        <v>389</v>
      </c>
      <c r="Q153" s="66" t="e">
        <f>FIND("-",T152)</f>
        <v>#VALUE!</v>
      </c>
      <c r="R153" s="2" t="e">
        <f>IF(MID(Q150,Q153-2,1)="+",1,2)</f>
        <v>#VALUE!</v>
      </c>
      <c r="T153" s="67" t="e">
        <f>REPLACE(T152,Q153,1,"X")</f>
        <v>#VALUE!</v>
      </c>
      <c r="U153" s="74" t="s">
        <v>393</v>
      </c>
      <c r="V153" s="67" t="e">
        <f>FIND("+",RIGHT(T153,W153-Q153))+Q153</f>
        <v>#VALUE!</v>
      </c>
      <c r="W153" s="67" t="e">
        <f>LEN(T153)</f>
        <v>#VALUE!</v>
      </c>
      <c r="X153" s="67" t="e">
        <f>V153-Q153-1</f>
        <v>#VALUE!</v>
      </c>
      <c r="Y153" s="67" t="e">
        <f>MID(T152,V153-X153,X153)-MID(T152,Q153-R153,R153)+1</f>
        <v>#VALUE!</v>
      </c>
      <c r="Z153" s="67">
        <f>IF(ISERROR(Y153),0,Y153)</f>
        <v>0</v>
      </c>
      <c r="AA153" s="67">
        <f>IF(OR(Z153="",Z153=0),0,1)</f>
        <v>0</v>
      </c>
    </row>
    <row r="154" spans="1:27" ht="15" customHeight="1" x14ac:dyDescent="0.2">
      <c r="P154" s="74"/>
      <c r="Q154" s="67"/>
      <c r="T154" s="67"/>
      <c r="U154" s="67"/>
      <c r="V154" s="67"/>
      <c r="W154" s="67"/>
      <c r="X154" s="67" t="s">
        <v>395</v>
      </c>
      <c r="Y154" s="67" t="e">
        <f>Y150+Y151+Y152+Y153</f>
        <v>#VALUE!</v>
      </c>
      <c r="Z154" s="75">
        <f>Z150+Z151+Z152+Z153</f>
        <v>0</v>
      </c>
      <c r="AA154" s="75">
        <f>AA150+AA151+AA152+AA153</f>
        <v>0</v>
      </c>
    </row>
    <row r="155" spans="1:27" ht="15" customHeight="1" x14ac:dyDescent="0.2">
      <c r="P155" s="74"/>
      <c r="Q155" s="67"/>
      <c r="T155" s="67"/>
      <c r="U155" s="67"/>
      <c r="V155" s="67"/>
      <c r="W155" s="67"/>
      <c r="X155" s="67"/>
      <c r="Y155" s="67"/>
      <c r="Z155" s="67">
        <f>Z154+V148-AA154+X148</f>
        <v>1</v>
      </c>
      <c r="AA155" s="67"/>
    </row>
    <row r="157" spans="1:27" ht="15" customHeight="1" x14ac:dyDescent="0.2">
      <c r="A157" s="2" t="s">
        <v>382</v>
      </c>
      <c r="P157" s="61"/>
      <c r="Q157" s="72" t="str">
        <f>SUBSTITUTE(SUBSTITUTE(SUBSTITUTE(SUBSTITUTE(SUBSTITUTE(SUBSTITUTE(SUBSTITUTE(LOWER(D62)," ",""),"from",""),",","+"),"and","+"),"&amp;","+"),"++","+"),"to","-")&amp;"+"</f>
        <v>+</v>
      </c>
      <c r="T157" s="72"/>
      <c r="U157" s="72" t="s">
        <v>394</v>
      </c>
      <c r="V157" s="72">
        <f>LEN(Q157)-LEN(SUBSTITUTE(Q157,"+",""))</f>
        <v>1</v>
      </c>
      <c r="W157" s="72"/>
      <c r="X157" s="72">
        <f>IF(RIGHT(Q157,2)="++",-1,0)</f>
        <v>0</v>
      </c>
      <c r="Y157" s="72"/>
      <c r="Z157" s="72">
        <f>LEN(Q157)-LEN(SUBSTITUTE(Q157,"-",""))+LEN(Q157)-LEN(SUBSTITUTE(LOWER(Q157),"to",""))</f>
        <v>0</v>
      </c>
      <c r="AA157" s="72"/>
    </row>
    <row r="158" spans="1:27" ht="15" customHeight="1" x14ac:dyDescent="0.2">
      <c r="A158" s="2" t="s">
        <v>380</v>
      </c>
      <c r="P158" s="61" t="s">
        <v>385</v>
      </c>
      <c r="Q158" s="73">
        <f>LEN(Q157)</f>
        <v>1</v>
      </c>
      <c r="T158" s="72"/>
      <c r="U158" s="72"/>
      <c r="V158" s="72"/>
      <c r="W158" s="72"/>
      <c r="X158" s="72"/>
      <c r="Y158" s="72"/>
      <c r="Z158" s="72"/>
      <c r="AA158" s="72"/>
    </row>
    <row r="159" spans="1:27" ht="15" customHeight="1" x14ac:dyDescent="0.2">
      <c r="A159" s="2" t="s">
        <v>379</v>
      </c>
      <c r="P159" s="74" t="s">
        <v>386</v>
      </c>
      <c r="Q159" s="66" t="e">
        <f>FIND("-",Q157)</f>
        <v>#VALUE!</v>
      </c>
      <c r="R159" s="2">
        <f>IF(ISERROR(IF(MID(Q157,Q159-2,1)="+",1,2)),1,2)</f>
        <v>1</v>
      </c>
      <c r="T159" s="67" t="e">
        <f>REPLACE(Q157,Q159,1,"X")</f>
        <v>#VALUE!</v>
      </c>
      <c r="U159" s="74" t="s">
        <v>390</v>
      </c>
      <c r="V159" s="67" t="e">
        <f>FIND("+",RIGHT(T159,W159-Q159))+Q159</f>
        <v>#VALUE!</v>
      </c>
      <c r="W159" s="67" t="e">
        <f>LEN(T159)</f>
        <v>#VALUE!</v>
      </c>
      <c r="X159" s="67" t="e">
        <f>V159-Q159-1</f>
        <v>#VALUE!</v>
      </c>
      <c r="Y159" s="67" t="e">
        <f>MID(Q157,V159-X159,X159)-MID(Q157,Q159-R159,R159)+1</f>
        <v>#VALUE!</v>
      </c>
      <c r="Z159" s="67">
        <f>IF(ISERROR(Y159),0,Y159)</f>
        <v>0</v>
      </c>
      <c r="AA159" s="67">
        <f>IF(OR(Z159="",Z159=0),0,1)</f>
        <v>0</v>
      </c>
    </row>
    <row r="160" spans="1:27" ht="15" customHeight="1" x14ac:dyDescent="0.2">
      <c r="A160" s="2" t="s">
        <v>381</v>
      </c>
      <c r="P160" s="74" t="s">
        <v>387</v>
      </c>
      <c r="Q160" s="66" t="e">
        <f>FIND("-",T159)</f>
        <v>#VALUE!</v>
      </c>
      <c r="R160" s="2" t="e">
        <f>IF(MID(Q157,Q160-2,1)="+",1,2)</f>
        <v>#VALUE!</v>
      </c>
      <c r="T160" s="67" t="e">
        <f>REPLACE(T159,Q160,1,"X")</f>
        <v>#VALUE!</v>
      </c>
      <c r="U160" s="74" t="s">
        <v>391</v>
      </c>
      <c r="V160" s="67" t="e">
        <f>FIND("+",RIGHT(T160,W160-Q160))+Q160</f>
        <v>#VALUE!</v>
      </c>
      <c r="W160" s="67" t="e">
        <f>LEN(T160)</f>
        <v>#VALUE!</v>
      </c>
      <c r="X160" s="67" t="e">
        <f>V160-Q160-1</f>
        <v>#VALUE!</v>
      </c>
      <c r="Y160" s="67" t="e">
        <f>MID(T159,V160-X160,X160)-MID(T159,Q160-R160,R160)+1</f>
        <v>#VALUE!</v>
      </c>
      <c r="Z160" s="67">
        <f>IF(ISERROR(Y160),0,Y160)</f>
        <v>0</v>
      </c>
      <c r="AA160" s="67">
        <f>IF(OR(Z160="",Z160=0),0,1)</f>
        <v>0</v>
      </c>
    </row>
    <row r="161" spans="16:27" ht="15" customHeight="1" x14ac:dyDescent="0.2">
      <c r="P161" s="74" t="s">
        <v>388</v>
      </c>
      <c r="Q161" s="66" t="e">
        <f>FIND("-",T160)</f>
        <v>#VALUE!</v>
      </c>
      <c r="R161" s="2" t="e">
        <f>IF(MID(Q158,Q161-2,1)="+",1,2)</f>
        <v>#VALUE!</v>
      </c>
      <c r="T161" s="67" t="e">
        <f>REPLACE(T160,Q161,1,"X")</f>
        <v>#VALUE!</v>
      </c>
      <c r="U161" s="74" t="s">
        <v>392</v>
      </c>
      <c r="V161" s="67" t="e">
        <f>FIND("+",RIGHT(T161,W161-Q161))+Q161</f>
        <v>#VALUE!</v>
      </c>
      <c r="W161" s="67" t="e">
        <f>LEN(T161)</f>
        <v>#VALUE!</v>
      </c>
      <c r="X161" s="67" t="e">
        <f>V161-Q161-1</f>
        <v>#VALUE!</v>
      </c>
      <c r="Y161" s="67" t="e">
        <f>MID(T160,V161-X161,X161)-MID(T160,Q161-R161,R161)+1</f>
        <v>#VALUE!</v>
      </c>
      <c r="Z161" s="67">
        <f>IF(ISERROR(Y161),0,Y161)</f>
        <v>0</v>
      </c>
      <c r="AA161" s="67">
        <f>IF(OR(Z161="",Z161=0),0,1)</f>
        <v>0</v>
      </c>
    </row>
    <row r="162" spans="16:27" ht="15" customHeight="1" x14ac:dyDescent="0.2">
      <c r="P162" s="74" t="s">
        <v>389</v>
      </c>
      <c r="Q162" s="66" t="e">
        <f>FIND("-",T161)</f>
        <v>#VALUE!</v>
      </c>
      <c r="R162" s="2" t="e">
        <f>IF(MID(Q159,Q162-2,1)="+",1,2)</f>
        <v>#VALUE!</v>
      </c>
      <c r="T162" s="67" t="e">
        <f>REPLACE(T161,Q162,1,"X")</f>
        <v>#VALUE!</v>
      </c>
      <c r="U162" s="74" t="s">
        <v>393</v>
      </c>
      <c r="V162" s="67" t="e">
        <f>FIND("+",RIGHT(T162,W162-Q162))+Q162</f>
        <v>#VALUE!</v>
      </c>
      <c r="W162" s="67" t="e">
        <f>LEN(T162)</f>
        <v>#VALUE!</v>
      </c>
      <c r="X162" s="67" t="e">
        <f>V162-Q162-1</f>
        <v>#VALUE!</v>
      </c>
      <c r="Y162" s="67" t="e">
        <f>MID(T161,V162-X162,X162)-MID(T161,Q162-R162,R162)+1</f>
        <v>#VALUE!</v>
      </c>
      <c r="Z162" s="67">
        <f>IF(ISERROR(Y162),0,Y162)</f>
        <v>0</v>
      </c>
      <c r="AA162" s="67">
        <f>IF(OR(Z162="",Z162=0),0,1)</f>
        <v>0</v>
      </c>
    </row>
    <row r="163" spans="16:27" ht="15" customHeight="1" x14ac:dyDescent="0.2">
      <c r="P163" s="74"/>
      <c r="Q163" s="67"/>
      <c r="T163" s="67"/>
      <c r="U163" s="67"/>
      <c r="V163" s="67"/>
      <c r="W163" s="67"/>
      <c r="X163" s="67" t="s">
        <v>395</v>
      </c>
      <c r="Y163" s="67" t="e">
        <f>Y159+Y160+Y161+Y162</f>
        <v>#VALUE!</v>
      </c>
      <c r="Z163" s="75">
        <f>Z159+Z160+Z161+Z162</f>
        <v>0</v>
      </c>
      <c r="AA163" s="75">
        <f>AA159+AA160+AA161+AA162</f>
        <v>0</v>
      </c>
    </row>
    <row r="164" spans="16:27" ht="15" customHeight="1" x14ac:dyDescent="0.2">
      <c r="P164" s="74"/>
      <c r="Q164" s="67"/>
      <c r="T164" s="67"/>
      <c r="U164" s="67"/>
      <c r="V164" s="67"/>
      <c r="W164" s="67"/>
      <c r="X164" s="67"/>
      <c r="Y164" s="67"/>
      <c r="Z164" s="67">
        <f>Z163+V157-AA163+X157</f>
        <v>1</v>
      </c>
      <c r="AA164" s="67"/>
    </row>
    <row r="169" spans="16:27" ht="15" customHeight="1" x14ac:dyDescent="0.2">
      <c r="R169" s="2" t="e">
        <f>MID(Q171,0,1)</f>
        <v>#VALUE!</v>
      </c>
    </row>
    <row r="171" spans="16:27" ht="15" customHeight="1" x14ac:dyDescent="0.2">
      <c r="P171" s="61"/>
      <c r="Q171" s="72" t="str">
        <f>SUBSTITUTE(SUBSTITUTE(SUBSTITUTE(SUBSTITUTE(SUBSTITUTE(SUBSTITUTE(SUBSTITUTE(LOWER(G53)," ",""),"from",""),",","+"),"and","+"),"&amp;","+"),"++","+"),"to","-")&amp;"+"</f>
        <v>+</v>
      </c>
      <c r="T171" s="72"/>
      <c r="U171" s="72" t="s">
        <v>394</v>
      </c>
      <c r="V171" s="72">
        <f>LEN(Q171)-LEN(SUBSTITUTE(Q171,"+",""))</f>
        <v>1</v>
      </c>
      <c r="W171" s="72"/>
      <c r="X171" s="72">
        <f>IF(RIGHT(Q171,2)="++",-1,0)</f>
        <v>0</v>
      </c>
      <c r="Y171" s="72"/>
      <c r="Z171" s="72">
        <f>LEN(Q171)-LEN(SUBSTITUTE(Q171,"-",""))+LEN(Q171)-LEN(SUBSTITUTE(LOWER(Q171),"to",""))</f>
        <v>0</v>
      </c>
      <c r="AA171" s="72"/>
    </row>
    <row r="172" spans="16:27" ht="15" customHeight="1" x14ac:dyDescent="0.2">
      <c r="P172" s="61" t="s">
        <v>385</v>
      </c>
      <c r="Q172" s="73">
        <f>LEN(Q171)</f>
        <v>1</v>
      </c>
      <c r="T172" s="72"/>
      <c r="U172" s="72"/>
      <c r="V172" s="72"/>
      <c r="W172" s="72"/>
      <c r="X172" s="72"/>
      <c r="Y172" s="72"/>
      <c r="Z172" s="72"/>
      <c r="AA172" s="72"/>
    </row>
    <row r="173" spans="16:27" ht="15" customHeight="1" x14ac:dyDescent="0.2">
      <c r="P173" s="74" t="s">
        <v>386</v>
      </c>
      <c r="Q173" s="66" t="e">
        <f>FIND("-",Q171)</f>
        <v>#VALUE!</v>
      </c>
      <c r="R173" s="2">
        <f>IF(ISERROR(IF(MID(Q171,Q173-2,1)="+",1,2)),1,2)</f>
        <v>1</v>
      </c>
      <c r="S173" s="26"/>
      <c r="T173" s="67" t="e">
        <f>REPLACE(Q171,Q173,1,"X")</f>
        <v>#VALUE!</v>
      </c>
      <c r="U173" s="74" t="s">
        <v>390</v>
      </c>
      <c r="V173" s="67" t="e">
        <f>FIND("+",RIGHT(T173,W173-Q173))+Q173</f>
        <v>#VALUE!</v>
      </c>
      <c r="W173" s="67" t="e">
        <f>LEN(T173)</f>
        <v>#VALUE!</v>
      </c>
      <c r="X173" s="67" t="e">
        <f>V173-Q173-1</f>
        <v>#VALUE!</v>
      </c>
      <c r="Y173" s="67" t="e">
        <f>MID(Q171,V173-X173,X173)-MID(Q171,Q173-R173,R173)+1</f>
        <v>#VALUE!</v>
      </c>
      <c r="Z173" s="67">
        <f>IF(ISERROR(Y173),0,Y173)</f>
        <v>0</v>
      </c>
      <c r="AA173" s="67">
        <f>IF(OR(Z173="",Z173=0),0,1)</f>
        <v>0</v>
      </c>
    </row>
    <row r="174" spans="16:27" ht="15" customHeight="1" x14ac:dyDescent="0.2">
      <c r="P174" s="74" t="s">
        <v>387</v>
      </c>
      <c r="Q174" s="66" t="e">
        <f>FIND("-",T173)</f>
        <v>#VALUE!</v>
      </c>
      <c r="R174" s="2" t="e">
        <f>IF(MID(Q171,Q174-2,1)="+",1,2)</f>
        <v>#VALUE!</v>
      </c>
      <c r="T174" s="67" t="e">
        <f>REPLACE(T173,Q174,1,"X")</f>
        <v>#VALUE!</v>
      </c>
      <c r="U174" s="74" t="s">
        <v>391</v>
      </c>
      <c r="V174" s="67" t="e">
        <f>FIND("+",RIGHT(T174,W174-Q174))+Q174</f>
        <v>#VALUE!</v>
      </c>
      <c r="W174" s="67" t="e">
        <f>LEN(T174)</f>
        <v>#VALUE!</v>
      </c>
      <c r="X174" s="67" t="e">
        <f>V174-Q174-1</f>
        <v>#VALUE!</v>
      </c>
      <c r="Y174" s="67" t="e">
        <f>MID(T173,V174-X174,X174)-MID(T173,Q174-R174,R174)+1</f>
        <v>#VALUE!</v>
      </c>
      <c r="Z174" s="67">
        <f>IF(ISERROR(Y174),0,Y174)</f>
        <v>0</v>
      </c>
      <c r="AA174" s="67">
        <f>IF(OR(Z174="",Z174=0),0,1)</f>
        <v>0</v>
      </c>
    </row>
    <row r="175" spans="16:27" ht="15" customHeight="1" x14ac:dyDescent="0.2">
      <c r="P175" s="74" t="s">
        <v>388</v>
      </c>
      <c r="Q175" s="66" t="e">
        <f>FIND("-",T174)</f>
        <v>#VALUE!</v>
      </c>
      <c r="R175" s="2" t="e">
        <f>IF(MID(Q172,Q175-2,1)="+",1,2)</f>
        <v>#VALUE!</v>
      </c>
      <c r="T175" s="67" t="e">
        <f>REPLACE(T174,Q175,1,"X")</f>
        <v>#VALUE!</v>
      </c>
      <c r="U175" s="74" t="s">
        <v>392</v>
      </c>
      <c r="V175" s="67" t="e">
        <f>FIND("+",RIGHT(T175,W175-Q175))+Q175</f>
        <v>#VALUE!</v>
      </c>
      <c r="W175" s="67" t="e">
        <f>LEN(T175)</f>
        <v>#VALUE!</v>
      </c>
      <c r="X175" s="67" t="e">
        <f>V175-Q175-1</f>
        <v>#VALUE!</v>
      </c>
      <c r="Y175" s="67" t="e">
        <f>MID(T174,V175-X175,X175)-MID(T174,Q175-R175,R175)+1</f>
        <v>#VALUE!</v>
      </c>
      <c r="Z175" s="67">
        <f>IF(ISERROR(Y175),0,Y175)</f>
        <v>0</v>
      </c>
      <c r="AA175" s="67">
        <f>IF(OR(Z175="",Z175=0),0,1)</f>
        <v>0</v>
      </c>
    </row>
    <row r="176" spans="16:27" ht="15" customHeight="1" x14ac:dyDescent="0.2">
      <c r="P176" s="74" t="s">
        <v>389</v>
      </c>
      <c r="Q176" s="66" t="e">
        <f>FIND("-",T175)</f>
        <v>#VALUE!</v>
      </c>
      <c r="R176" s="2" t="e">
        <f>IF(MID(Q173,Q176-2,1)="+",1,2)</f>
        <v>#VALUE!</v>
      </c>
      <c r="T176" s="67" t="e">
        <f>REPLACE(T175,Q176,1,"X")</f>
        <v>#VALUE!</v>
      </c>
      <c r="U176" s="74" t="s">
        <v>393</v>
      </c>
      <c r="V176" s="67" t="e">
        <f>FIND("+",RIGHT(T176,W176-Q176))+Q176</f>
        <v>#VALUE!</v>
      </c>
      <c r="W176" s="67" t="e">
        <f>LEN(T176)</f>
        <v>#VALUE!</v>
      </c>
      <c r="X176" s="67" t="e">
        <f>V176-Q176-1</f>
        <v>#VALUE!</v>
      </c>
      <c r="Y176" s="67" t="e">
        <f>MID(T175,V176-X176,X176)-MID(T175,Q176-R176,R176)+1</f>
        <v>#VALUE!</v>
      </c>
      <c r="Z176" s="67">
        <f>IF(ISERROR(Y176),0,Y176)</f>
        <v>0</v>
      </c>
      <c r="AA176" s="67">
        <f>IF(OR(Z176="",Z176=0),0,1)</f>
        <v>0</v>
      </c>
    </row>
    <row r="177" spans="16:27" ht="15" customHeight="1" x14ac:dyDescent="0.2">
      <c r="P177" s="74"/>
      <c r="Q177" s="67"/>
      <c r="T177" s="67"/>
      <c r="U177" s="67"/>
      <c r="V177" s="67"/>
      <c r="W177" s="67"/>
      <c r="X177" s="67" t="s">
        <v>395</v>
      </c>
      <c r="Y177" s="67" t="e">
        <f>Y173+Y174+Y175+Y176</f>
        <v>#VALUE!</v>
      </c>
      <c r="Z177" s="75">
        <f>Z173+Z174+Z175+Z176</f>
        <v>0</v>
      </c>
      <c r="AA177" s="75">
        <f>AA173+AA174+AA175+AA176</f>
        <v>0</v>
      </c>
    </row>
    <row r="178" spans="16:27" ht="15" customHeight="1" x14ac:dyDescent="0.2">
      <c r="P178" s="74"/>
      <c r="Q178" s="67"/>
      <c r="T178" s="67"/>
      <c r="U178" s="67"/>
      <c r="V178" s="67"/>
      <c r="W178" s="67"/>
      <c r="X178" s="67"/>
      <c r="Y178" s="67"/>
      <c r="Z178" s="67">
        <f>Z177+V171-AA177+X171</f>
        <v>1</v>
      </c>
      <c r="AA178" s="67"/>
    </row>
    <row r="180" spans="16:27" ht="15" customHeight="1" x14ac:dyDescent="0.2">
      <c r="P180" s="61"/>
      <c r="Q180" s="72" t="str">
        <f>SUBSTITUTE(SUBSTITUTE(SUBSTITUTE(SUBSTITUTE(SUBSTITUTE(SUBSTITUTE(SUBSTITUTE(LOWER(G54)," ",""),"from",""),",","+"),"and","+"),"&amp;","+"),"++","+"),"to","-")&amp;"+"</f>
        <v>+</v>
      </c>
      <c r="T180" s="72"/>
      <c r="U180" s="72" t="s">
        <v>394</v>
      </c>
      <c r="V180" s="72">
        <f>LEN(Q180)-LEN(SUBSTITUTE(Q180,"+",""))</f>
        <v>1</v>
      </c>
      <c r="W180" s="72"/>
      <c r="X180" s="72">
        <f>IF(RIGHT(Q180,2)="++",-1,0)</f>
        <v>0</v>
      </c>
      <c r="Y180" s="72"/>
      <c r="Z180" s="72">
        <f>LEN(Q180)-LEN(SUBSTITUTE(Q180,"-",""))+LEN(Q180)-LEN(SUBSTITUTE(LOWER(Q180),"to",""))</f>
        <v>0</v>
      </c>
      <c r="AA180" s="72"/>
    </row>
    <row r="181" spans="16:27" ht="15" customHeight="1" x14ac:dyDescent="0.2">
      <c r="P181" s="61" t="s">
        <v>385</v>
      </c>
      <c r="Q181" s="73">
        <f>LEN(Q180)</f>
        <v>1</v>
      </c>
      <c r="T181" s="72"/>
      <c r="U181" s="72"/>
      <c r="V181" s="72"/>
      <c r="W181" s="72"/>
      <c r="X181" s="72"/>
      <c r="Y181" s="72"/>
      <c r="Z181" s="72"/>
      <c r="AA181" s="72"/>
    </row>
    <row r="182" spans="16:27" ht="15" customHeight="1" x14ac:dyDescent="0.2">
      <c r="P182" s="74" t="s">
        <v>386</v>
      </c>
      <c r="Q182" s="66" t="e">
        <f>FIND("-",Q180)</f>
        <v>#VALUE!</v>
      </c>
      <c r="R182" s="2">
        <f>IF(ISERROR(IF(MID(Q180,Q182-2,1)="+",1,2)),1,2)</f>
        <v>1</v>
      </c>
      <c r="T182" s="67" t="e">
        <f>REPLACE(Q180,Q182,1,"X")</f>
        <v>#VALUE!</v>
      </c>
      <c r="U182" s="74" t="s">
        <v>390</v>
      </c>
      <c r="V182" s="67" t="e">
        <f>FIND("+",RIGHT(T182,W182-Q182))+Q182</f>
        <v>#VALUE!</v>
      </c>
      <c r="W182" s="67" t="e">
        <f>LEN(T182)</f>
        <v>#VALUE!</v>
      </c>
      <c r="X182" s="67" t="e">
        <f>V182-Q182-1</f>
        <v>#VALUE!</v>
      </c>
      <c r="Y182" s="67" t="e">
        <f>MID(Q180,V182-X182,X182)-MID(Q180,Q182-R182,R182)+1</f>
        <v>#VALUE!</v>
      </c>
      <c r="Z182" s="67">
        <f>IF(ISERROR(Y182),0,Y182)</f>
        <v>0</v>
      </c>
      <c r="AA182" s="67">
        <f>IF(OR(Z182="",Z182=0),0,1)</f>
        <v>0</v>
      </c>
    </row>
    <row r="183" spans="16:27" ht="15" customHeight="1" x14ac:dyDescent="0.2">
      <c r="P183" s="74" t="s">
        <v>387</v>
      </c>
      <c r="Q183" s="66" t="e">
        <f>FIND("-",T182)</f>
        <v>#VALUE!</v>
      </c>
      <c r="R183" s="2" t="e">
        <f>IF(MID(Q180,Q183-2,1)="+",1,2)</f>
        <v>#VALUE!</v>
      </c>
      <c r="T183" s="67" t="e">
        <f>REPLACE(T182,Q183,1,"X")</f>
        <v>#VALUE!</v>
      </c>
      <c r="U183" s="74" t="s">
        <v>391</v>
      </c>
      <c r="V183" s="67" t="e">
        <f>FIND("+",RIGHT(T183,W183-Q183))+Q183</f>
        <v>#VALUE!</v>
      </c>
      <c r="W183" s="67" t="e">
        <f>LEN(T183)</f>
        <v>#VALUE!</v>
      </c>
      <c r="X183" s="67" t="e">
        <f>V183-Q183-1</f>
        <v>#VALUE!</v>
      </c>
      <c r="Y183" s="67" t="e">
        <f>MID(T182,V183-X183,X183)-MID(T182,Q183-R183,R183)+1</f>
        <v>#VALUE!</v>
      </c>
      <c r="Z183" s="67">
        <f>IF(ISERROR(Y183),0,Y183)</f>
        <v>0</v>
      </c>
      <c r="AA183" s="67">
        <f>IF(OR(Z183="",Z183=0),0,1)</f>
        <v>0</v>
      </c>
    </row>
    <row r="184" spans="16:27" ht="15" customHeight="1" x14ac:dyDescent="0.2">
      <c r="P184" s="74" t="s">
        <v>388</v>
      </c>
      <c r="Q184" s="66" t="e">
        <f>FIND("-",T183)</f>
        <v>#VALUE!</v>
      </c>
      <c r="R184" s="2" t="e">
        <f>IF(MID(Q181,Q184-2,1)="+",1,2)</f>
        <v>#VALUE!</v>
      </c>
      <c r="T184" s="67" t="e">
        <f>REPLACE(T183,Q184,1,"X")</f>
        <v>#VALUE!</v>
      </c>
      <c r="U184" s="74" t="s">
        <v>392</v>
      </c>
      <c r="V184" s="67" t="e">
        <f>FIND("+",RIGHT(T184,W184-Q184))+Q184</f>
        <v>#VALUE!</v>
      </c>
      <c r="W184" s="67" t="e">
        <f>LEN(T184)</f>
        <v>#VALUE!</v>
      </c>
      <c r="X184" s="67" t="e">
        <f>V184-Q184-1</f>
        <v>#VALUE!</v>
      </c>
      <c r="Y184" s="67" t="e">
        <f>MID(T183,V184-X184,X184)-MID(T183,Q184-R184,R184)+1</f>
        <v>#VALUE!</v>
      </c>
      <c r="Z184" s="67">
        <f>IF(ISERROR(Y184),0,Y184)</f>
        <v>0</v>
      </c>
      <c r="AA184" s="67">
        <f>IF(OR(Z184="",Z184=0),0,1)</f>
        <v>0</v>
      </c>
    </row>
    <row r="185" spans="16:27" ht="15" customHeight="1" x14ac:dyDescent="0.2">
      <c r="P185" s="74" t="s">
        <v>389</v>
      </c>
      <c r="Q185" s="66" t="e">
        <f>FIND("-",T184)</f>
        <v>#VALUE!</v>
      </c>
      <c r="R185" s="2" t="e">
        <f>IF(MID(Q182,Q185-2,1)="+",1,2)</f>
        <v>#VALUE!</v>
      </c>
      <c r="T185" s="67" t="e">
        <f>REPLACE(T184,Q185,1,"X")</f>
        <v>#VALUE!</v>
      </c>
      <c r="U185" s="74" t="s">
        <v>393</v>
      </c>
      <c r="V185" s="67" t="e">
        <f>FIND("+",RIGHT(T185,W185-Q185))+Q185</f>
        <v>#VALUE!</v>
      </c>
      <c r="W185" s="67" t="e">
        <f>LEN(T185)</f>
        <v>#VALUE!</v>
      </c>
      <c r="X185" s="67" t="e">
        <f>V185-Q185-1</f>
        <v>#VALUE!</v>
      </c>
      <c r="Y185" s="67" t="e">
        <f>MID(T184,V185-X185,X185)-MID(T184,Q185-R185,R185)+1</f>
        <v>#VALUE!</v>
      </c>
      <c r="Z185" s="67">
        <f>IF(ISERROR(Y185),0,Y185)</f>
        <v>0</v>
      </c>
      <c r="AA185" s="67">
        <f>IF(OR(Z185="",Z185=0),0,1)</f>
        <v>0</v>
      </c>
    </row>
    <row r="186" spans="16:27" ht="15" customHeight="1" x14ac:dyDescent="0.2">
      <c r="P186" s="74"/>
      <c r="Q186" s="67"/>
      <c r="T186" s="67"/>
      <c r="U186" s="67"/>
      <c r="V186" s="67"/>
      <c r="W186" s="67"/>
      <c r="X186" s="67" t="s">
        <v>395</v>
      </c>
      <c r="Y186" s="67" t="e">
        <f>Y182+Y183+Y184+Y185</f>
        <v>#VALUE!</v>
      </c>
      <c r="Z186" s="75">
        <f>Z182+Z183+Z184+Z185</f>
        <v>0</v>
      </c>
      <c r="AA186" s="75">
        <f>AA182+AA183+AA184+AA185</f>
        <v>0</v>
      </c>
    </row>
    <row r="187" spans="16:27" ht="15" customHeight="1" x14ac:dyDescent="0.2">
      <c r="P187" s="74"/>
      <c r="Q187" s="67"/>
      <c r="T187" s="67"/>
      <c r="U187" s="67"/>
      <c r="V187" s="67"/>
      <c r="W187" s="67"/>
      <c r="X187" s="67"/>
      <c r="Y187" s="67"/>
      <c r="Z187" s="67">
        <f>Z186+V180-AA186+X180</f>
        <v>1</v>
      </c>
      <c r="AA187" s="67"/>
    </row>
    <row r="189" spans="16:27" ht="15" customHeight="1" x14ac:dyDescent="0.2">
      <c r="P189" s="61"/>
      <c r="Q189" s="72" t="str">
        <f>SUBSTITUTE(SUBSTITUTE(SUBSTITUTE(SUBSTITUTE(SUBSTITUTE(SUBSTITUTE(SUBSTITUTE(LOWER(G55)," ",""),"from",""),",","+"),"and","+"),"&amp;","+"),"++","+"),"to","-")&amp;"+"</f>
        <v>+</v>
      </c>
      <c r="T189" s="72"/>
      <c r="U189" s="72" t="s">
        <v>394</v>
      </c>
      <c r="V189" s="72">
        <f>LEN(Q189)-LEN(SUBSTITUTE(Q189,"+",""))</f>
        <v>1</v>
      </c>
      <c r="W189" s="72"/>
      <c r="X189" s="72">
        <f>IF(RIGHT(Q189,2)="++",-1,0)</f>
        <v>0</v>
      </c>
      <c r="Y189" s="72"/>
      <c r="Z189" s="72">
        <f>LEN(Q189)-LEN(SUBSTITUTE(Q189,"-",""))+LEN(Q189)-LEN(SUBSTITUTE(LOWER(Q189),"to",""))</f>
        <v>0</v>
      </c>
      <c r="AA189" s="72"/>
    </row>
    <row r="190" spans="16:27" ht="15" customHeight="1" x14ac:dyDescent="0.2">
      <c r="P190" s="61" t="s">
        <v>385</v>
      </c>
      <c r="Q190" s="73">
        <f>LEN(Q189)</f>
        <v>1</v>
      </c>
      <c r="T190" s="72"/>
      <c r="U190" s="72"/>
      <c r="V190" s="72"/>
      <c r="W190" s="72"/>
      <c r="X190" s="72"/>
      <c r="Y190" s="72"/>
      <c r="Z190" s="72"/>
      <c r="AA190" s="72"/>
    </row>
    <row r="191" spans="16:27" ht="15" customHeight="1" x14ac:dyDescent="0.2">
      <c r="P191" s="74" t="s">
        <v>386</v>
      </c>
      <c r="Q191" s="66" t="e">
        <f>FIND("-",Q189)</f>
        <v>#VALUE!</v>
      </c>
      <c r="R191" s="2">
        <f>IF(ISERROR(IF(MID(Q189,Q191-2,1)="+",1,2)),1,2)</f>
        <v>1</v>
      </c>
      <c r="T191" s="67" t="e">
        <f>REPLACE(Q189,Q191,1,"X")</f>
        <v>#VALUE!</v>
      </c>
      <c r="U191" s="74" t="s">
        <v>390</v>
      </c>
      <c r="V191" s="67" t="e">
        <f>FIND("+",RIGHT(T191,W191-Q191))+Q191</f>
        <v>#VALUE!</v>
      </c>
      <c r="W191" s="67" t="e">
        <f>LEN(T191)</f>
        <v>#VALUE!</v>
      </c>
      <c r="X191" s="67" t="e">
        <f>V191-Q191-1</f>
        <v>#VALUE!</v>
      </c>
      <c r="Y191" s="67" t="e">
        <f>MID(Q189,V191-X191,X191)-MID(Q189,Q191-R191,R191)+1</f>
        <v>#VALUE!</v>
      </c>
      <c r="Z191" s="67">
        <f>IF(ISERROR(Y191),0,Y191)</f>
        <v>0</v>
      </c>
      <c r="AA191" s="67">
        <f>IF(OR(Z191="",Z191=0),0,1)</f>
        <v>0</v>
      </c>
    </row>
    <row r="192" spans="16:27" ht="15" customHeight="1" x14ac:dyDescent="0.2">
      <c r="P192" s="74" t="s">
        <v>387</v>
      </c>
      <c r="Q192" s="66" t="e">
        <f>FIND("-",T191)</f>
        <v>#VALUE!</v>
      </c>
      <c r="R192" s="2" t="e">
        <f>IF(MID(Q189,Q192-2,1)="+",1,2)</f>
        <v>#VALUE!</v>
      </c>
      <c r="T192" s="67" t="e">
        <f>REPLACE(T191,Q192,1,"X")</f>
        <v>#VALUE!</v>
      </c>
      <c r="U192" s="74" t="s">
        <v>391</v>
      </c>
      <c r="V192" s="67" t="e">
        <f>FIND("+",RIGHT(T192,W192-Q192))+Q192</f>
        <v>#VALUE!</v>
      </c>
      <c r="W192" s="67" t="e">
        <f>LEN(T192)</f>
        <v>#VALUE!</v>
      </c>
      <c r="X192" s="67" t="e">
        <f>V192-Q192-1</f>
        <v>#VALUE!</v>
      </c>
      <c r="Y192" s="67" t="e">
        <f>MID(T191,V192-X192,X192)-MID(T191,Q192-R192,R192)+1</f>
        <v>#VALUE!</v>
      </c>
      <c r="Z192" s="67">
        <f>IF(ISERROR(Y192),0,Y192)</f>
        <v>0</v>
      </c>
      <c r="AA192" s="67">
        <f>IF(OR(Z192="",Z192=0),0,1)</f>
        <v>0</v>
      </c>
    </row>
    <row r="193" spans="16:27" ht="15" customHeight="1" x14ac:dyDescent="0.2">
      <c r="P193" s="74" t="s">
        <v>388</v>
      </c>
      <c r="Q193" s="66" t="e">
        <f>FIND("-",T192)</f>
        <v>#VALUE!</v>
      </c>
      <c r="R193" s="2" t="e">
        <f>IF(MID(Q190,Q193-2,1)="+",1,2)</f>
        <v>#VALUE!</v>
      </c>
      <c r="T193" s="67" t="e">
        <f>REPLACE(T192,Q193,1,"X")</f>
        <v>#VALUE!</v>
      </c>
      <c r="U193" s="74" t="s">
        <v>392</v>
      </c>
      <c r="V193" s="67" t="e">
        <f>FIND("+",RIGHT(T193,W193-Q193))+Q193</f>
        <v>#VALUE!</v>
      </c>
      <c r="W193" s="67" t="e">
        <f>LEN(T193)</f>
        <v>#VALUE!</v>
      </c>
      <c r="X193" s="67" t="e">
        <f>V193-Q193-1</f>
        <v>#VALUE!</v>
      </c>
      <c r="Y193" s="67" t="e">
        <f>MID(T192,V193-X193,X193)-MID(T192,Q193-R193,R193)+1</f>
        <v>#VALUE!</v>
      </c>
      <c r="Z193" s="67">
        <f>IF(ISERROR(Y193),0,Y193)</f>
        <v>0</v>
      </c>
      <c r="AA193" s="67">
        <f>IF(OR(Z193="",Z193=0),0,1)</f>
        <v>0</v>
      </c>
    </row>
    <row r="194" spans="16:27" ht="15" customHeight="1" x14ac:dyDescent="0.2">
      <c r="P194" s="74" t="s">
        <v>389</v>
      </c>
      <c r="Q194" s="66" t="e">
        <f>FIND("-",T193)</f>
        <v>#VALUE!</v>
      </c>
      <c r="R194" s="2" t="e">
        <f>IF(MID(Q191,Q194-2,1)="+",1,2)</f>
        <v>#VALUE!</v>
      </c>
      <c r="T194" s="67" t="e">
        <f>REPLACE(T193,Q194,1,"X")</f>
        <v>#VALUE!</v>
      </c>
      <c r="U194" s="74" t="s">
        <v>393</v>
      </c>
      <c r="V194" s="67" t="e">
        <f>FIND("+",RIGHT(T194,W194-Q194))+Q194</f>
        <v>#VALUE!</v>
      </c>
      <c r="W194" s="67" t="e">
        <f>LEN(T194)</f>
        <v>#VALUE!</v>
      </c>
      <c r="X194" s="67" t="e">
        <f>V194-Q194-1</f>
        <v>#VALUE!</v>
      </c>
      <c r="Y194" s="67" t="e">
        <f>MID(T193,V194-X194,X194)-MID(T193,Q194-R194,R194)+1</f>
        <v>#VALUE!</v>
      </c>
      <c r="Z194" s="67">
        <f>IF(ISERROR(Y194),0,Y194)</f>
        <v>0</v>
      </c>
      <c r="AA194" s="67">
        <f>IF(OR(Z194="",Z194=0),0,1)</f>
        <v>0</v>
      </c>
    </row>
    <row r="195" spans="16:27" ht="15" customHeight="1" x14ac:dyDescent="0.2">
      <c r="P195" s="74"/>
      <c r="Q195" s="67"/>
      <c r="T195" s="67"/>
      <c r="U195" s="67"/>
      <c r="V195" s="67"/>
      <c r="W195" s="67"/>
      <c r="X195" s="67" t="s">
        <v>395</v>
      </c>
      <c r="Y195" s="67" t="e">
        <f>Y191+Y192+Y193+Y194</f>
        <v>#VALUE!</v>
      </c>
      <c r="Z195" s="75">
        <f>Z191+Z192+Z193+Z194</f>
        <v>0</v>
      </c>
      <c r="AA195" s="75">
        <f>AA191+AA192+AA193+AA194</f>
        <v>0</v>
      </c>
    </row>
    <row r="196" spans="16:27" ht="15" customHeight="1" x14ac:dyDescent="0.2">
      <c r="P196" s="74"/>
      <c r="Q196" s="67"/>
      <c r="T196" s="67"/>
      <c r="U196" s="67"/>
      <c r="V196" s="67"/>
      <c r="W196" s="67"/>
      <c r="X196" s="67"/>
      <c r="Y196" s="67"/>
      <c r="Z196" s="67">
        <f>Z195+V189-AA195+X189</f>
        <v>1</v>
      </c>
      <c r="AA196" s="67"/>
    </row>
    <row r="198" spans="16:27" ht="15" customHeight="1" x14ac:dyDescent="0.2">
      <c r="P198" s="61"/>
      <c r="Q198" s="72" t="str">
        <f>SUBSTITUTE(SUBSTITUTE(SUBSTITUTE(SUBSTITUTE(SUBSTITUTE(SUBSTITUTE(SUBSTITUTE(LOWER(G56)," ",""),"from",""),",","+"),"and","+"),"&amp;","+"),"++","+"),"to","-")&amp;"+"</f>
        <v>+</v>
      </c>
      <c r="T198" s="72"/>
      <c r="U198" s="72" t="s">
        <v>394</v>
      </c>
      <c r="V198" s="72">
        <f>LEN(Q198)-LEN(SUBSTITUTE(Q198,"+",""))</f>
        <v>1</v>
      </c>
      <c r="W198" s="72"/>
      <c r="X198" s="72">
        <f>IF(RIGHT(Q198,2)="++",-1,0)</f>
        <v>0</v>
      </c>
      <c r="Y198" s="72"/>
      <c r="Z198" s="72">
        <f>LEN(Q198)-LEN(SUBSTITUTE(Q198,"-",""))+LEN(Q198)-LEN(SUBSTITUTE(LOWER(Q198),"to",""))</f>
        <v>0</v>
      </c>
      <c r="AA198" s="72"/>
    </row>
    <row r="199" spans="16:27" ht="15" customHeight="1" x14ac:dyDescent="0.2">
      <c r="P199" s="61" t="s">
        <v>385</v>
      </c>
      <c r="Q199" s="73">
        <f>LEN(Q198)</f>
        <v>1</v>
      </c>
      <c r="R199" s="18"/>
      <c r="S199" s="18"/>
      <c r="T199" s="72"/>
      <c r="U199" s="72"/>
      <c r="V199" s="72"/>
      <c r="W199" s="72"/>
      <c r="X199" s="72"/>
      <c r="Y199" s="72"/>
      <c r="Z199" s="72"/>
      <c r="AA199" s="72"/>
    </row>
    <row r="200" spans="16:27" ht="15" customHeight="1" x14ac:dyDescent="0.2">
      <c r="P200" s="74" t="s">
        <v>386</v>
      </c>
      <c r="Q200" s="66" t="e">
        <f>FIND("-",Q198)</f>
        <v>#VALUE!</v>
      </c>
      <c r="R200" s="2">
        <f>IF(ISERROR(IF(MID(Q198,Q200-2,1)="+",1,2)),1,2)</f>
        <v>1</v>
      </c>
      <c r="T200" s="67" t="e">
        <f>REPLACE(Q198,Q200,1,"X")</f>
        <v>#VALUE!</v>
      </c>
      <c r="U200" s="74" t="s">
        <v>390</v>
      </c>
      <c r="V200" s="67" t="e">
        <f>FIND("+",RIGHT(T200,W200-Q200))+Q200</f>
        <v>#VALUE!</v>
      </c>
      <c r="W200" s="67" t="e">
        <f>LEN(T200)</f>
        <v>#VALUE!</v>
      </c>
      <c r="X200" s="67" t="e">
        <f>V200-Q200-1</f>
        <v>#VALUE!</v>
      </c>
      <c r="Y200" s="67" t="e">
        <f>MID(Q198,V200-X200,X200)-MID(Q198,Q200-R200,R200)+1</f>
        <v>#VALUE!</v>
      </c>
      <c r="Z200" s="67">
        <f>IF(ISERROR(Y200),0,Y200)</f>
        <v>0</v>
      </c>
      <c r="AA200" s="67">
        <f>IF(OR(Z200="",Z200=0),0,1)</f>
        <v>0</v>
      </c>
    </row>
    <row r="201" spans="16:27" ht="15" customHeight="1" x14ac:dyDescent="0.2">
      <c r="P201" s="74" t="s">
        <v>387</v>
      </c>
      <c r="Q201" s="66" t="e">
        <f>FIND("-",T200)</f>
        <v>#VALUE!</v>
      </c>
      <c r="R201" s="2" t="e">
        <f>IF(MID(Q198,Q201-2,1)="+",1,2)</f>
        <v>#VALUE!</v>
      </c>
      <c r="T201" s="67" t="e">
        <f>REPLACE(T200,Q201,1,"X")</f>
        <v>#VALUE!</v>
      </c>
      <c r="U201" s="74" t="s">
        <v>391</v>
      </c>
      <c r="V201" s="67" t="e">
        <f>FIND("+",RIGHT(T201,W201-Q201))+Q201</f>
        <v>#VALUE!</v>
      </c>
      <c r="W201" s="67" t="e">
        <f>LEN(T201)</f>
        <v>#VALUE!</v>
      </c>
      <c r="X201" s="67" t="e">
        <f>V201-Q201-1</f>
        <v>#VALUE!</v>
      </c>
      <c r="Y201" s="67" t="e">
        <f>MID(T200,V201-X201,X201)-MID(T200,Q201-R201,R201)+1</f>
        <v>#VALUE!</v>
      </c>
      <c r="Z201" s="67">
        <f>IF(ISERROR(Y201),0,Y201)</f>
        <v>0</v>
      </c>
      <c r="AA201" s="67">
        <f>IF(OR(Z201="",Z201=0),0,1)</f>
        <v>0</v>
      </c>
    </row>
    <row r="202" spans="16:27" ht="15" customHeight="1" x14ac:dyDescent="0.2">
      <c r="P202" s="74" t="s">
        <v>388</v>
      </c>
      <c r="Q202" s="66" t="e">
        <f>FIND("-",T201)</f>
        <v>#VALUE!</v>
      </c>
      <c r="R202" s="2" t="e">
        <f>IF(MID(Q199,Q202-2,1)="+",1,2)</f>
        <v>#VALUE!</v>
      </c>
      <c r="T202" s="67" t="e">
        <f>REPLACE(T201,Q202,1,"X")</f>
        <v>#VALUE!</v>
      </c>
      <c r="U202" s="74" t="s">
        <v>392</v>
      </c>
      <c r="V202" s="67" t="e">
        <f>FIND("+",RIGHT(T202,W202-Q202))+Q202</f>
        <v>#VALUE!</v>
      </c>
      <c r="W202" s="67" t="e">
        <f>LEN(T202)</f>
        <v>#VALUE!</v>
      </c>
      <c r="X202" s="67" t="e">
        <f>V202-Q202-1</f>
        <v>#VALUE!</v>
      </c>
      <c r="Y202" s="67" t="e">
        <f>MID(T201,V202-X202,X202)-MID(T201,Q202-R202,R202)+1</f>
        <v>#VALUE!</v>
      </c>
      <c r="Z202" s="67">
        <f>IF(ISERROR(Y202),0,Y202)</f>
        <v>0</v>
      </c>
      <c r="AA202" s="67">
        <f>IF(OR(Z202="",Z202=0),0,1)</f>
        <v>0</v>
      </c>
    </row>
    <row r="203" spans="16:27" ht="15" customHeight="1" x14ac:dyDescent="0.2">
      <c r="P203" s="74" t="s">
        <v>389</v>
      </c>
      <c r="Q203" s="66" t="e">
        <f>FIND("-",T202)</f>
        <v>#VALUE!</v>
      </c>
      <c r="R203" s="2" t="e">
        <f>IF(MID(Q200,Q203-2,1)="+",1,2)</f>
        <v>#VALUE!</v>
      </c>
      <c r="T203" s="67" t="e">
        <f>REPLACE(T202,Q203,1,"X")</f>
        <v>#VALUE!</v>
      </c>
      <c r="U203" s="74" t="s">
        <v>393</v>
      </c>
      <c r="V203" s="67" t="e">
        <f>FIND("+",RIGHT(T203,W203-Q203))+Q203</f>
        <v>#VALUE!</v>
      </c>
      <c r="W203" s="67" t="e">
        <f>LEN(T203)</f>
        <v>#VALUE!</v>
      </c>
      <c r="X203" s="67" t="e">
        <f>V203-Q203-1</f>
        <v>#VALUE!</v>
      </c>
      <c r="Y203" s="67" t="e">
        <f>MID(T202,V203-X203,X203)-MID(T202,Q203-R203,R203)+1</f>
        <v>#VALUE!</v>
      </c>
      <c r="Z203" s="67">
        <f>IF(ISERROR(Y203),0,Y203)</f>
        <v>0</v>
      </c>
      <c r="AA203" s="67">
        <f>IF(OR(Z203="",Z203=0),0,1)</f>
        <v>0</v>
      </c>
    </row>
    <row r="204" spans="16:27" ht="15" customHeight="1" x14ac:dyDescent="0.2">
      <c r="P204" s="74"/>
      <c r="Q204" s="67"/>
      <c r="T204" s="67"/>
      <c r="U204" s="67"/>
      <c r="V204" s="67"/>
      <c r="W204" s="67"/>
      <c r="X204" s="67" t="s">
        <v>395</v>
      </c>
      <c r="Y204" s="67" t="e">
        <f>Y200+Y201+Y202+Y203</f>
        <v>#VALUE!</v>
      </c>
      <c r="Z204" s="75">
        <f>Z200+Z201+Z202+Z203</f>
        <v>0</v>
      </c>
      <c r="AA204" s="75">
        <f>AA200+AA201+AA202+AA203</f>
        <v>0</v>
      </c>
    </row>
    <row r="205" spans="16:27" ht="15" customHeight="1" x14ac:dyDescent="0.2">
      <c r="P205" s="74"/>
      <c r="Q205" s="67"/>
      <c r="T205" s="67"/>
      <c r="U205" s="67"/>
      <c r="V205" s="67"/>
      <c r="W205" s="67"/>
      <c r="X205" s="67"/>
      <c r="Y205" s="67"/>
      <c r="Z205" s="67">
        <f>Z204+V198-AA204+X198</f>
        <v>1</v>
      </c>
      <c r="AA205" s="67"/>
    </row>
    <row r="207" spans="16:27" ht="15" customHeight="1" x14ac:dyDescent="0.2">
      <c r="P207" s="61"/>
      <c r="Q207" s="72" t="str">
        <f>SUBSTITUTE(SUBSTITUTE(SUBSTITUTE(SUBSTITUTE(SUBSTITUTE(SUBSTITUTE(SUBSTITUTE(LOWER(G57)," ",""),"from",""),",","+"),"and","+"),"&amp;","+"),"++","+"),"to","-")&amp;"+"</f>
        <v>+</v>
      </c>
      <c r="T207" s="72"/>
      <c r="U207" s="72" t="s">
        <v>394</v>
      </c>
      <c r="V207" s="72">
        <f>LEN(Q207)-LEN(SUBSTITUTE(Q207,"+",""))</f>
        <v>1</v>
      </c>
      <c r="W207" s="72"/>
      <c r="X207" s="72">
        <f>IF(RIGHT(Q207,2)="++",-1,0)</f>
        <v>0</v>
      </c>
      <c r="Y207" s="72"/>
      <c r="Z207" s="72">
        <f>LEN(Q207)-LEN(SUBSTITUTE(Q207,"-",""))+LEN(Q207)-LEN(SUBSTITUTE(LOWER(Q207),"to",""))</f>
        <v>0</v>
      </c>
      <c r="AA207" s="72"/>
    </row>
    <row r="208" spans="16:27" ht="15" customHeight="1" x14ac:dyDescent="0.2">
      <c r="P208" s="61" t="s">
        <v>385</v>
      </c>
      <c r="Q208" s="73">
        <f>LEN(Q207)</f>
        <v>1</v>
      </c>
      <c r="T208" s="72"/>
      <c r="U208" s="72"/>
      <c r="V208" s="72"/>
      <c r="W208" s="72"/>
      <c r="X208" s="72"/>
      <c r="Y208" s="72"/>
      <c r="Z208" s="72"/>
      <c r="AA208" s="72"/>
    </row>
    <row r="209" spans="16:27" ht="15" customHeight="1" x14ac:dyDescent="0.2">
      <c r="P209" s="74" t="s">
        <v>386</v>
      </c>
      <c r="Q209" s="66" t="e">
        <f>FIND("-",Q207)</f>
        <v>#VALUE!</v>
      </c>
      <c r="R209" s="2">
        <f>IF(ISERROR(IF(MID(Q207,Q209-2,1)="+",1,2)),1,2)</f>
        <v>1</v>
      </c>
      <c r="T209" s="67" t="e">
        <f>REPLACE(Q207,Q209,1,"X")</f>
        <v>#VALUE!</v>
      </c>
      <c r="U209" s="74" t="s">
        <v>390</v>
      </c>
      <c r="V209" s="67" t="e">
        <f>FIND("+",RIGHT(T209,W209-Q209))+Q209</f>
        <v>#VALUE!</v>
      </c>
      <c r="W209" s="67" t="e">
        <f>LEN(T209)</f>
        <v>#VALUE!</v>
      </c>
      <c r="X209" s="67" t="e">
        <f>V209-Q209-1</f>
        <v>#VALUE!</v>
      </c>
      <c r="Y209" s="67" t="e">
        <f>MID(Q207,V209-X209,X209)-MID(Q207,Q209-R209,R209)+1</f>
        <v>#VALUE!</v>
      </c>
      <c r="Z209" s="67">
        <f>IF(ISERROR(Y209),0,Y209)</f>
        <v>0</v>
      </c>
      <c r="AA209" s="67">
        <f>IF(OR(Z209="",Z209=0),0,1)</f>
        <v>0</v>
      </c>
    </row>
    <row r="210" spans="16:27" ht="15" customHeight="1" x14ac:dyDescent="0.2">
      <c r="P210" s="74" t="s">
        <v>387</v>
      </c>
      <c r="Q210" s="66" t="e">
        <f>FIND("-",T209)</f>
        <v>#VALUE!</v>
      </c>
      <c r="R210" s="2" t="e">
        <f>IF(MID(Q207,Q210-2,1)="+",1,2)</f>
        <v>#VALUE!</v>
      </c>
      <c r="T210" s="67" t="e">
        <f>REPLACE(T209,Q210,1,"X")</f>
        <v>#VALUE!</v>
      </c>
      <c r="U210" s="74" t="s">
        <v>391</v>
      </c>
      <c r="V210" s="67" t="e">
        <f>FIND("+",RIGHT(T210,W210-Q210))+Q210</f>
        <v>#VALUE!</v>
      </c>
      <c r="W210" s="67" t="e">
        <f>LEN(T210)</f>
        <v>#VALUE!</v>
      </c>
      <c r="X210" s="67" t="e">
        <f>V210-Q210-1</f>
        <v>#VALUE!</v>
      </c>
      <c r="Y210" s="67" t="e">
        <f>MID(T209,V210-X210,X210)-MID(T209,Q210-R210,R210)+1</f>
        <v>#VALUE!</v>
      </c>
      <c r="Z210" s="67">
        <f>IF(ISERROR(Y210),0,Y210)</f>
        <v>0</v>
      </c>
      <c r="AA210" s="67">
        <f>IF(OR(Z210="",Z210=0),0,1)</f>
        <v>0</v>
      </c>
    </row>
    <row r="211" spans="16:27" ht="15" customHeight="1" x14ac:dyDescent="0.2">
      <c r="P211" s="74" t="s">
        <v>388</v>
      </c>
      <c r="Q211" s="66" t="e">
        <f>FIND("-",T210)</f>
        <v>#VALUE!</v>
      </c>
      <c r="R211" s="2" t="e">
        <f>IF(MID(Q208,Q211-2,1)="+",1,2)</f>
        <v>#VALUE!</v>
      </c>
      <c r="T211" s="67" t="e">
        <f>REPLACE(T210,Q211,1,"X")</f>
        <v>#VALUE!</v>
      </c>
      <c r="U211" s="74" t="s">
        <v>392</v>
      </c>
      <c r="V211" s="67" t="e">
        <f>FIND("+",RIGHT(T211,W211-Q211))+Q211</f>
        <v>#VALUE!</v>
      </c>
      <c r="W211" s="67" t="e">
        <f>LEN(T211)</f>
        <v>#VALUE!</v>
      </c>
      <c r="X211" s="67" t="e">
        <f>V211-Q211-1</f>
        <v>#VALUE!</v>
      </c>
      <c r="Y211" s="67" t="e">
        <f>MID(T210,V211-X211,X211)-MID(T210,Q211-R211,R211)+1</f>
        <v>#VALUE!</v>
      </c>
      <c r="Z211" s="67">
        <f>IF(ISERROR(Y211),0,Y211)</f>
        <v>0</v>
      </c>
      <c r="AA211" s="67">
        <f>IF(OR(Z211="",Z211=0),0,1)</f>
        <v>0</v>
      </c>
    </row>
    <row r="212" spans="16:27" ht="15" customHeight="1" x14ac:dyDescent="0.2">
      <c r="P212" s="74" t="s">
        <v>389</v>
      </c>
      <c r="Q212" s="66" t="e">
        <f>FIND("-",T211)</f>
        <v>#VALUE!</v>
      </c>
      <c r="R212" s="2" t="e">
        <f>IF(MID(Q209,Q212-2,1)="+",1,2)</f>
        <v>#VALUE!</v>
      </c>
      <c r="T212" s="67" t="e">
        <f>REPLACE(T211,Q212,1,"X")</f>
        <v>#VALUE!</v>
      </c>
      <c r="U212" s="74" t="s">
        <v>393</v>
      </c>
      <c r="V212" s="67" t="e">
        <f>FIND("+",RIGHT(T212,W212-Q212))+Q212</f>
        <v>#VALUE!</v>
      </c>
      <c r="W212" s="67" t="e">
        <f>LEN(T212)</f>
        <v>#VALUE!</v>
      </c>
      <c r="X212" s="67" t="e">
        <f>V212-Q212-1</f>
        <v>#VALUE!</v>
      </c>
      <c r="Y212" s="67" t="e">
        <f>MID(T211,V212-X212,X212)-MID(T211,Q212-R212,R212)+1</f>
        <v>#VALUE!</v>
      </c>
      <c r="Z212" s="67">
        <f>IF(ISERROR(Y212),0,Y212)</f>
        <v>0</v>
      </c>
      <c r="AA212" s="67">
        <f>IF(OR(Z212="",Z212=0),0,1)</f>
        <v>0</v>
      </c>
    </row>
    <row r="213" spans="16:27" ht="15" customHeight="1" x14ac:dyDescent="0.2">
      <c r="P213" s="74"/>
      <c r="Q213" s="67"/>
      <c r="T213" s="67"/>
      <c r="U213" s="67"/>
      <c r="V213" s="67"/>
      <c r="W213" s="67"/>
      <c r="X213" s="67" t="s">
        <v>395</v>
      </c>
      <c r="Y213" s="67" t="e">
        <f>Y209+Y210+Y211+Y212</f>
        <v>#VALUE!</v>
      </c>
      <c r="Z213" s="75">
        <f>Z209+Z210+Z211+Z212</f>
        <v>0</v>
      </c>
      <c r="AA213" s="75">
        <f>AA209+AA210+AA211+AA212</f>
        <v>0</v>
      </c>
    </row>
    <row r="214" spans="16:27" ht="15" customHeight="1" x14ac:dyDescent="0.2">
      <c r="P214" s="74"/>
      <c r="Q214" s="67"/>
      <c r="T214" s="67"/>
      <c r="U214" s="67"/>
      <c r="V214" s="67"/>
      <c r="W214" s="67"/>
      <c r="X214" s="67"/>
      <c r="Y214" s="67"/>
      <c r="Z214" s="67">
        <f>Z213+V207-AA213+X207</f>
        <v>1</v>
      </c>
      <c r="AA214" s="67"/>
    </row>
    <row r="216" spans="16:27" ht="15" customHeight="1" x14ac:dyDescent="0.2">
      <c r="P216" s="61"/>
      <c r="Q216" s="72" t="str">
        <f>SUBSTITUTE(SUBSTITUTE(SUBSTITUTE(SUBSTITUTE(SUBSTITUTE(SUBSTITUTE(SUBSTITUTE(LOWER(G58)," ",""),"from",""),",","+"),"and","+"),"&amp;","+"),"++","+"),"to","-")&amp;"+"</f>
        <v>+</v>
      </c>
      <c r="T216" s="72"/>
      <c r="U216" s="72" t="s">
        <v>394</v>
      </c>
      <c r="V216" s="72">
        <f>LEN(Q216)-LEN(SUBSTITUTE(Q216,"+",""))</f>
        <v>1</v>
      </c>
      <c r="W216" s="72"/>
      <c r="X216" s="72">
        <f>IF(RIGHT(Q216,2)="++",-1,0)</f>
        <v>0</v>
      </c>
      <c r="Y216" s="72"/>
      <c r="Z216" s="72">
        <f>LEN(Q216)-LEN(SUBSTITUTE(Q216,"-",""))+LEN(Q216)-LEN(SUBSTITUTE(LOWER(Q216),"to",""))</f>
        <v>0</v>
      </c>
      <c r="AA216" s="72"/>
    </row>
    <row r="217" spans="16:27" ht="15" customHeight="1" x14ac:dyDescent="0.2">
      <c r="P217" s="61" t="s">
        <v>385</v>
      </c>
      <c r="Q217" s="73">
        <f>LEN(Q216)</f>
        <v>1</v>
      </c>
      <c r="T217" s="72"/>
      <c r="U217" s="72"/>
      <c r="V217" s="72"/>
      <c r="W217" s="72"/>
      <c r="X217" s="72"/>
      <c r="Y217" s="72"/>
      <c r="Z217" s="72"/>
      <c r="AA217" s="72"/>
    </row>
    <row r="218" spans="16:27" ht="15" customHeight="1" x14ac:dyDescent="0.2">
      <c r="P218" s="74" t="s">
        <v>386</v>
      </c>
      <c r="Q218" s="66" t="e">
        <f>FIND("-",Q216)</f>
        <v>#VALUE!</v>
      </c>
      <c r="R218" s="2">
        <f>IF(ISERROR(IF(MID(Q216,Q218-2,1)="+",1,2)),1,2)</f>
        <v>1</v>
      </c>
      <c r="T218" s="67" t="e">
        <f>REPLACE(Q216,Q218,1,"X")</f>
        <v>#VALUE!</v>
      </c>
      <c r="U218" s="74" t="s">
        <v>390</v>
      </c>
      <c r="V218" s="67" t="e">
        <f>FIND("+",RIGHT(T218,W218-Q218))+Q218</f>
        <v>#VALUE!</v>
      </c>
      <c r="W218" s="67" t="e">
        <f>LEN(T218)</f>
        <v>#VALUE!</v>
      </c>
      <c r="X218" s="67" t="e">
        <f>V218-Q218-1</f>
        <v>#VALUE!</v>
      </c>
      <c r="Y218" s="67" t="e">
        <f>MID(Q216,V218-X218,X218)-MID(Q216,Q218-R218,R218)+1</f>
        <v>#VALUE!</v>
      </c>
      <c r="Z218" s="67">
        <f>IF(ISERROR(Y218),0,Y218)</f>
        <v>0</v>
      </c>
      <c r="AA218" s="67">
        <f>IF(OR(Z218="",Z218=0),0,1)</f>
        <v>0</v>
      </c>
    </row>
    <row r="219" spans="16:27" ht="15" customHeight="1" x14ac:dyDescent="0.2">
      <c r="P219" s="74" t="s">
        <v>387</v>
      </c>
      <c r="Q219" s="66" t="e">
        <f>FIND("-",T218)</f>
        <v>#VALUE!</v>
      </c>
      <c r="R219" s="2" t="e">
        <f>IF(MID(Q216,Q219-2,1)="+",1,2)</f>
        <v>#VALUE!</v>
      </c>
      <c r="T219" s="67" t="e">
        <f>REPLACE(T218,Q219,1,"X")</f>
        <v>#VALUE!</v>
      </c>
      <c r="U219" s="74" t="s">
        <v>391</v>
      </c>
      <c r="V219" s="67" t="e">
        <f>FIND("+",RIGHT(T219,W219-Q219))+Q219</f>
        <v>#VALUE!</v>
      </c>
      <c r="W219" s="67" t="e">
        <f>LEN(T219)</f>
        <v>#VALUE!</v>
      </c>
      <c r="X219" s="67" t="e">
        <f>V219-Q219-1</f>
        <v>#VALUE!</v>
      </c>
      <c r="Y219" s="67" t="e">
        <f>MID(T218,V219-X219,X219)-MID(T218,Q219-R219,R219)+1</f>
        <v>#VALUE!</v>
      </c>
      <c r="Z219" s="67">
        <f>IF(ISERROR(Y219),0,Y219)</f>
        <v>0</v>
      </c>
      <c r="AA219" s="67">
        <f>IF(OR(Z219="",Z219=0),0,1)</f>
        <v>0</v>
      </c>
    </row>
    <row r="220" spans="16:27" ht="15" customHeight="1" x14ac:dyDescent="0.2">
      <c r="P220" s="74" t="s">
        <v>388</v>
      </c>
      <c r="Q220" s="66" t="e">
        <f>FIND("-",T219)</f>
        <v>#VALUE!</v>
      </c>
      <c r="R220" s="2" t="e">
        <f>IF(MID(Q217,Q220-2,1)="+",1,2)</f>
        <v>#VALUE!</v>
      </c>
      <c r="T220" s="67" t="e">
        <f>REPLACE(T219,Q220,1,"X")</f>
        <v>#VALUE!</v>
      </c>
      <c r="U220" s="74" t="s">
        <v>392</v>
      </c>
      <c r="V220" s="67" t="e">
        <f>FIND("+",RIGHT(T220,W220-Q220))+Q220</f>
        <v>#VALUE!</v>
      </c>
      <c r="W220" s="67" t="e">
        <f>LEN(T220)</f>
        <v>#VALUE!</v>
      </c>
      <c r="X220" s="67" t="e">
        <f>V220-Q220-1</f>
        <v>#VALUE!</v>
      </c>
      <c r="Y220" s="67" t="e">
        <f>MID(T219,V220-X220,X220)-MID(T219,Q220-R220,R220)+1</f>
        <v>#VALUE!</v>
      </c>
      <c r="Z220" s="67">
        <f>IF(ISERROR(Y220),0,Y220)</f>
        <v>0</v>
      </c>
      <c r="AA220" s="67">
        <f>IF(OR(Z220="",Z220=0),0,1)</f>
        <v>0</v>
      </c>
    </row>
    <row r="221" spans="16:27" ht="15" customHeight="1" x14ac:dyDescent="0.2">
      <c r="P221" s="74" t="s">
        <v>389</v>
      </c>
      <c r="Q221" s="66" t="e">
        <f>FIND("-",T220)</f>
        <v>#VALUE!</v>
      </c>
      <c r="R221" s="2" t="e">
        <f>IF(MID(Q218,Q221-2,1)="+",1,2)</f>
        <v>#VALUE!</v>
      </c>
      <c r="T221" s="67" t="e">
        <f>REPLACE(T220,Q221,1,"X")</f>
        <v>#VALUE!</v>
      </c>
      <c r="U221" s="74" t="s">
        <v>393</v>
      </c>
      <c r="V221" s="67" t="e">
        <f>FIND("+",RIGHT(T221,W221-Q221))+Q221</f>
        <v>#VALUE!</v>
      </c>
      <c r="W221" s="67" t="e">
        <f>LEN(T221)</f>
        <v>#VALUE!</v>
      </c>
      <c r="X221" s="67" t="e">
        <f>V221-Q221-1</f>
        <v>#VALUE!</v>
      </c>
      <c r="Y221" s="67" t="e">
        <f>MID(T220,V221-X221,X221)-MID(T220,Q221-R221,R221)+1</f>
        <v>#VALUE!</v>
      </c>
      <c r="Z221" s="67">
        <f>IF(ISERROR(Y221),0,Y221)</f>
        <v>0</v>
      </c>
      <c r="AA221" s="67">
        <f>IF(OR(Z221="",Z221=0),0,1)</f>
        <v>0</v>
      </c>
    </row>
    <row r="222" spans="16:27" ht="15" customHeight="1" x14ac:dyDescent="0.2">
      <c r="P222" s="74"/>
      <c r="Q222" s="67"/>
      <c r="T222" s="67"/>
      <c r="U222" s="67"/>
      <c r="V222" s="67"/>
      <c r="W222" s="67"/>
      <c r="X222" s="67" t="s">
        <v>395</v>
      </c>
      <c r="Y222" s="67" t="e">
        <f>Y218+Y219+Y220+Y221</f>
        <v>#VALUE!</v>
      </c>
      <c r="Z222" s="75">
        <f>Z218+Z219+Z220+Z221</f>
        <v>0</v>
      </c>
      <c r="AA222" s="75">
        <f>AA218+AA219+AA220+AA221</f>
        <v>0</v>
      </c>
    </row>
    <row r="223" spans="16:27" ht="15" customHeight="1" x14ac:dyDescent="0.2">
      <c r="P223" s="74"/>
      <c r="Q223" s="67"/>
      <c r="T223" s="67"/>
      <c r="U223" s="67"/>
      <c r="V223" s="67"/>
      <c r="W223" s="67"/>
      <c r="X223" s="67"/>
      <c r="Y223" s="67"/>
      <c r="Z223" s="67">
        <f>Z222+V216-AA222+X216</f>
        <v>1</v>
      </c>
      <c r="AA223" s="67"/>
    </row>
    <row r="225" spans="16:27" ht="15" customHeight="1" x14ac:dyDescent="0.2">
      <c r="P225" s="61"/>
      <c r="Q225" s="72" t="str">
        <f>SUBSTITUTE(SUBSTITUTE(SUBSTITUTE(SUBSTITUTE(SUBSTITUTE(SUBSTITUTE(SUBSTITUTE(LOWER(G59)," ",""),"from",""),",","+"),"and","+"),"&amp;","+"),"++","+"),"to","-")&amp;"+"</f>
        <v>+</v>
      </c>
      <c r="T225" s="72"/>
      <c r="U225" s="72" t="s">
        <v>394</v>
      </c>
      <c r="V225" s="72">
        <f>LEN(Q225)-LEN(SUBSTITUTE(Q225,"+",""))</f>
        <v>1</v>
      </c>
      <c r="W225" s="72"/>
      <c r="X225" s="72">
        <f>IF(RIGHT(Q225,2)="++",-1,0)</f>
        <v>0</v>
      </c>
      <c r="Y225" s="72"/>
      <c r="Z225" s="72">
        <f>LEN(Q225)-LEN(SUBSTITUTE(Q225,"-",""))+LEN(Q225)-LEN(SUBSTITUTE(LOWER(Q225),"to",""))</f>
        <v>0</v>
      </c>
      <c r="AA225" s="72"/>
    </row>
    <row r="226" spans="16:27" ht="15" customHeight="1" x14ac:dyDescent="0.2">
      <c r="P226" s="61" t="s">
        <v>385</v>
      </c>
      <c r="Q226" s="73">
        <f>LEN(Q225)</f>
        <v>1</v>
      </c>
      <c r="T226" s="72"/>
      <c r="U226" s="72"/>
      <c r="V226" s="72"/>
      <c r="W226" s="72"/>
      <c r="X226" s="72"/>
      <c r="Y226" s="72"/>
      <c r="Z226" s="72"/>
      <c r="AA226" s="72"/>
    </row>
    <row r="227" spans="16:27" ht="15" customHeight="1" x14ac:dyDescent="0.2">
      <c r="P227" s="74" t="s">
        <v>386</v>
      </c>
      <c r="Q227" s="66" t="e">
        <f>FIND("-",Q225)</f>
        <v>#VALUE!</v>
      </c>
      <c r="R227" s="2">
        <f>IF(ISERROR(IF(MID(Q225,Q227-2,1)="+",1,2)),1,2)</f>
        <v>1</v>
      </c>
      <c r="T227" s="67" t="e">
        <f>REPLACE(Q225,Q227,1,"X")</f>
        <v>#VALUE!</v>
      </c>
      <c r="U227" s="74" t="s">
        <v>390</v>
      </c>
      <c r="V227" s="67" t="e">
        <f>FIND("+",RIGHT(T227,W227-Q227))+Q227</f>
        <v>#VALUE!</v>
      </c>
      <c r="W227" s="67" t="e">
        <f>LEN(T227)</f>
        <v>#VALUE!</v>
      </c>
      <c r="X227" s="67" t="e">
        <f>V227-Q227-1</f>
        <v>#VALUE!</v>
      </c>
      <c r="Y227" s="67" t="e">
        <f>MID(Q225,V227-X227,X227)-MID(Q225,Q227-R227,R227)+1</f>
        <v>#VALUE!</v>
      </c>
      <c r="Z227" s="67">
        <f>IF(ISERROR(Y227),0,Y227)</f>
        <v>0</v>
      </c>
      <c r="AA227" s="67">
        <f>IF(OR(Z227="",Z227=0),0,1)</f>
        <v>0</v>
      </c>
    </row>
    <row r="228" spans="16:27" ht="15" customHeight="1" x14ac:dyDescent="0.2">
      <c r="P228" s="74" t="s">
        <v>387</v>
      </c>
      <c r="Q228" s="66" t="e">
        <f>FIND("-",T227)</f>
        <v>#VALUE!</v>
      </c>
      <c r="R228" s="2" t="e">
        <f>IF(MID(Q225,Q228-2,1)="+",1,2)</f>
        <v>#VALUE!</v>
      </c>
      <c r="T228" s="67" t="e">
        <f>REPLACE(T227,Q228,1,"X")</f>
        <v>#VALUE!</v>
      </c>
      <c r="U228" s="74" t="s">
        <v>391</v>
      </c>
      <c r="V228" s="67" t="e">
        <f>FIND("+",RIGHT(T228,W228-Q228))+Q228</f>
        <v>#VALUE!</v>
      </c>
      <c r="W228" s="67" t="e">
        <f>LEN(T228)</f>
        <v>#VALUE!</v>
      </c>
      <c r="X228" s="67" t="e">
        <f>V228-Q228-1</f>
        <v>#VALUE!</v>
      </c>
      <c r="Y228" s="67" t="e">
        <f>MID(T227,V228-X228,X228)-MID(T227,Q228-R228,R228)+1</f>
        <v>#VALUE!</v>
      </c>
      <c r="Z228" s="67">
        <f>IF(ISERROR(Y228),0,Y228)</f>
        <v>0</v>
      </c>
      <c r="AA228" s="67">
        <f>IF(OR(Z228="",Z228=0),0,1)</f>
        <v>0</v>
      </c>
    </row>
    <row r="229" spans="16:27" ht="15" customHeight="1" x14ac:dyDescent="0.2">
      <c r="P229" s="74" t="s">
        <v>388</v>
      </c>
      <c r="Q229" s="66" t="e">
        <f>FIND("-",T228)</f>
        <v>#VALUE!</v>
      </c>
      <c r="R229" s="2" t="e">
        <f>IF(MID(Q226,Q229-2,1)="+",1,2)</f>
        <v>#VALUE!</v>
      </c>
      <c r="T229" s="67" t="e">
        <f>REPLACE(T228,Q229,1,"X")</f>
        <v>#VALUE!</v>
      </c>
      <c r="U229" s="74" t="s">
        <v>392</v>
      </c>
      <c r="V229" s="67" t="e">
        <f>FIND("+",RIGHT(T229,W229-Q229))+Q229</f>
        <v>#VALUE!</v>
      </c>
      <c r="W229" s="67" t="e">
        <f>LEN(T229)</f>
        <v>#VALUE!</v>
      </c>
      <c r="X229" s="67" t="e">
        <f>V229-Q229-1</f>
        <v>#VALUE!</v>
      </c>
      <c r="Y229" s="67" t="e">
        <f>MID(T228,V229-X229,X229)-MID(T228,Q229-R229,R229)+1</f>
        <v>#VALUE!</v>
      </c>
      <c r="Z229" s="67">
        <f>IF(ISERROR(Y229),0,Y229)</f>
        <v>0</v>
      </c>
      <c r="AA229" s="67">
        <f>IF(OR(Z229="",Z229=0),0,1)</f>
        <v>0</v>
      </c>
    </row>
    <row r="230" spans="16:27" ht="15" customHeight="1" x14ac:dyDescent="0.2">
      <c r="P230" s="74" t="s">
        <v>389</v>
      </c>
      <c r="Q230" s="66" t="e">
        <f>FIND("-",T229)</f>
        <v>#VALUE!</v>
      </c>
      <c r="R230" s="2" t="e">
        <f>IF(MID(Q227,Q230-2,1)="+",1,2)</f>
        <v>#VALUE!</v>
      </c>
      <c r="T230" s="67" t="e">
        <f>REPLACE(T229,Q230,1,"X")</f>
        <v>#VALUE!</v>
      </c>
      <c r="U230" s="74" t="s">
        <v>393</v>
      </c>
      <c r="V230" s="67" t="e">
        <f>FIND("+",RIGHT(T230,W230-Q230))+Q230</f>
        <v>#VALUE!</v>
      </c>
      <c r="W230" s="67" t="e">
        <f>LEN(T230)</f>
        <v>#VALUE!</v>
      </c>
      <c r="X230" s="67" t="e">
        <f>V230-Q230-1</f>
        <v>#VALUE!</v>
      </c>
      <c r="Y230" s="67" t="e">
        <f>MID(T229,V230-X230,X230)-MID(T229,Q230-R230,R230)+1</f>
        <v>#VALUE!</v>
      </c>
      <c r="Z230" s="67">
        <f>IF(ISERROR(Y230),0,Y230)</f>
        <v>0</v>
      </c>
      <c r="AA230" s="67">
        <f>IF(OR(Z230="",Z230=0),0,1)</f>
        <v>0</v>
      </c>
    </row>
    <row r="231" spans="16:27" ht="15" customHeight="1" x14ac:dyDescent="0.2">
      <c r="P231" s="74"/>
      <c r="Q231" s="67"/>
      <c r="T231" s="67"/>
      <c r="U231" s="67"/>
      <c r="V231" s="67"/>
      <c r="W231" s="67"/>
      <c r="X231" s="67" t="s">
        <v>395</v>
      </c>
      <c r="Y231" s="67" t="e">
        <f>Y227+Y228+Y229+Y230</f>
        <v>#VALUE!</v>
      </c>
      <c r="Z231" s="75">
        <f>Z227+Z228+Z229+Z230</f>
        <v>0</v>
      </c>
      <c r="AA231" s="75">
        <f>AA227+AA228+AA229+AA230</f>
        <v>0</v>
      </c>
    </row>
    <row r="232" spans="16:27" ht="15" customHeight="1" x14ac:dyDescent="0.2">
      <c r="P232" s="74"/>
      <c r="Q232" s="67"/>
      <c r="T232" s="67"/>
      <c r="U232" s="67"/>
      <c r="V232" s="67"/>
      <c r="W232" s="67"/>
      <c r="X232" s="67"/>
      <c r="Y232" s="67"/>
      <c r="Z232" s="67">
        <f>Z231+V225-AA231+X225</f>
        <v>1</v>
      </c>
      <c r="AA232" s="67"/>
    </row>
    <row r="234" spans="16:27" ht="15" customHeight="1" x14ac:dyDescent="0.2">
      <c r="P234" s="61"/>
      <c r="Q234" s="72" t="str">
        <f>SUBSTITUTE(SUBSTITUTE(SUBSTITUTE(SUBSTITUTE(SUBSTITUTE(SUBSTITUTE(SUBSTITUTE(LOWER(G60)," ",""),"from",""),",","+"),"and","+"),"&amp;","+"),"++","+"),"to","-")&amp;"+"</f>
        <v>+</v>
      </c>
      <c r="T234" s="72"/>
      <c r="U234" s="72" t="s">
        <v>394</v>
      </c>
      <c r="V234" s="72">
        <f>LEN(Q234)-LEN(SUBSTITUTE(Q234,"+",""))</f>
        <v>1</v>
      </c>
      <c r="W234" s="72"/>
      <c r="X234" s="72">
        <f>IF(RIGHT(Q234,2)="++",-1,0)</f>
        <v>0</v>
      </c>
      <c r="Y234" s="72"/>
      <c r="Z234" s="72">
        <f>LEN(Q234)-LEN(SUBSTITUTE(Q234,"-",""))+LEN(Q234)-LEN(SUBSTITUTE(LOWER(Q234),"to",""))</f>
        <v>0</v>
      </c>
      <c r="AA234" s="72"/>
    </row>
    <row r="235" spans="16:27" ht="15" customHeight="1" x14ac:dyDescent="0.2">
      <c r="P235" s="61" t="s">
        <v>385</v>
      </c>
      <c r="Q235" s="73">
        <f>LEN(Q234)</f>
        <v>1</v>
      </c>
      <c r="T235" s="72"/>
      <c r="U235" s="72"/>
      <c r="V235" s="72"/>
      <c r="W235" s="72"/>
      <c r="X235" s="72"/>
      <c r="Y235" s="72"/>
      <c r="Z235" s="72"/>
      <c r="AA235" s="72"/>
    </row>
    <row r="236" spans="16:27" ht="15" customHeight="1" x14ac:dyDescent="0.2">
      <c r="P236" s="74" t="s">
        <v>386</v>
      </c>
      <c r="Q236" s="66" t="e">
        <f>FIND("-",Q234)</f>
        <v>#VALUE!</v>
      </c>
      <c r="R236" s="2">
        <f>IF(ISERROR(IF(MID(Q234,Q236-2,1)="+",1,2)),1,2)</f>
        <v>1</v>
      </c>
      <c r="T236" s="67" t="e">
        <f>REPLACE(Q234,Q236,1,"X")</f>
        <v>#VALUE!</v>
      </c>
      <c r="U236" s="74" t="s">
        <v>390</v>
      </c>
      <c r="V236" s="67" t="e">
        <f>FIND("+",RIGHT(T236,W236-Q236))+Q236</f>
        <v>#VALUE!</v>
      </c>
      <c r="W236" s="67" t="e">
        <f>LEN(T236)</f>
        <v>#VALUE!</v>
      </c>
      <c r="X236" s="67" t="e">
        <f>V236-Q236-1</f>
        <v>#VALUE!</v>
      </c>
      <c r="Y236" s="67" t="e">
        <f>MID(Q234,V236-X236,X236)-MID(Q234,Q236-R236,R236)+1</f>
        <v>#VALUE!</v>
      </c>
      <c r="Z236" s="67">
        <f>IF(ISERROR(Y236),0,Y236)</f>
        <v>0</v>
      </c>
      <c r="AA236" s="67">
        <f>IF(OR(Z236="",Z236=0),0,1)</f>
        <v>0</v>
      </c>
    </row>
    <row r="237" spans="16:27" ht="15" customHeight="1" x14ac:dyDescent="0.2">
      <c r="P237" s="74" t="s">
        <v>387</v>
      </c>
      <c r="Q237" s="66" t="e">
        <f>FIND("-",T236)</f>
        <v>#VALUE!</v>
      </c>
      <c r="R237" s="2" t="e">
        <f>IF(MID(Q234,Q237-2,1)="+",1,2)</f>
        <v>#VALUE!</v>
      </c>
      <c r="T237" s="67" t="e">
        <f>REPLACE(T236,Q237,1,"X")</f>
        <v>#VALUE!</v>
      </c>
      <c r="U237" s="74" t="s">
        <v>391</v>
      </c>
      <c r="V237" s="67" t="e">
        <f>FIND("+",RIGHT(T237,W237-Q237))+Q237</f>
        <v>#VALUE!</v>
      </c>
      <c r="W237" s="67" t="e">
        <f>LEN(T237)</f>
        <v>#VALUE!</v>
      </c>
      <c r="X237" s="67" t="e">
        <f>V237-Q237-1</f>
        <v>#VALUE!</v>
      </c>
      <c r="Y237" s="67" t="e">
        <f>MID(T236,V237-X237,X237)-MID(T236,Q237-R237,R237)+1</f>
        <v>#VALUE!</v>
      </c>
      <c r="Z237" s="67">
        <f>IF(ISERROR(Y237),0,Y237)</f>
        <v>0</v>
      </c>
      <c r="AA237" s="67">
        <f>IF(OR(Z237="",Z237=0),0,1)</f>
        <v>0</v>
      </c>
    </row>
    <row r="238" spans="16:27" ht="15" customHeight="1" x14ac:dyDescent="0.2">
      <c r="P238" s="74" t="s">
        <v>388</v>
      </c>
      <c r="Q238" s="66" t="e">
        <f>FIND("-",T237)</f>
        <v>#VALUE!</v>
      </c>
      <c r="R238" s="2" t="e">
        <f>IF(MID(Q235,Q238-2,1)="+",1,2)</f>
        <v>#VALUE!</v>
      </c>
      <c r="T238" s="67" t="e">
        <f>REPLACE(T237,Q238,1,"X")</f>
        <v>#VALUE!</v>
      </c>
      <c r="U238" s="74" t="s">
        <v>392</v>
      </c>
      <c r="V238" s="67" t="e">
        <f>FIND("+",RIGHT(T238,W238-Q238))+Q238</f>
        <v>#VALUE!</v>
      </c>
      <c r="W238" s="67" t="e">
        <f>LEN(T238)</f>
        <v>#VALUE!</v>
      </c>
      <c r="X238" s="67" t="e">
        <f>V238-Q238-1</f>
        <v>#VALUE!</v>
      </c>
      <c r="Y238" s="67" t="e">
        <f>MID(T237,V238-X238,X238)-MID(T237,Q238-R238,R238)+1</f>
        <v>#VALUE!</v>
      </c>
      <c r="Z238" s="67">
        <f>IF(ISERROR(Y238),0,Y238)</f>
        <v>0</v>
      </c>
      <c r="AA238" s="67">
        <f>IF(OR(Z238="",Z238=0),0,1)</f>
        <v>0</v>
      </c>
    </row>
    <row r="239" spans="16:27" ht="15" customHeight="1" x14ac:dyDescent="0.2">
      <c r="P239" s="74" t="s">
        <v>389</v>
      </c>
      <c r="Q239" s="66" t="e">
        <f>FIND("-",T238)</f>
        <v>#VALUE!</v>
      </c>
      <c r="R239" s="2" t="e">
        <f>IF(MID(Q236,Q239-2,1)="+",1,2)</f>
        <v>#VALUE!</v>
      </c>
      <c r="T239" s="67" t="e">
        <f>REPLACE(T238,Q239,1,"X")</f>
        <v>#VALUE!</v>
      </c>
      <c r="U239" s="74" t="s">
        <v>393</v>
      </c>
      <c r="V239" s="67" t="e">
        <f>FIND("+",RIGHT(T239,W239-Q239))+Q239</f>
        <v>#VALUE!</v>
      </c>
      <c r="W239" s="67" t="e">
        <f>LEN(T239)</f>
        <v>#VALUE!</v>
      </c>
      <c r="X239" s="67" t="e">
        <f>V239-Q239-1</f>
        <v>#VALUE!</v>
      </c>
      <c r="Y239" s="67" t="e">
        <f>MID(T238,V239-X239,X239)-MID(T238,Q239-R239,R239)+1</f>
        <v>#VALUE!</v>
      </c>
      <c r="Z239" s="67">
        <f>IF(ISERROR(Y239),0,Y239)</f>
        <v>0</v>
      </c>
      <c r="AA239" s="67">
        <f>IF(OR(Z239="",Z239=0),0,1)</f>
        <v>0</v>
      </c>
    </row>
    <row r="240" spans="16:27" ht="15" customHeight="1" x14ac:dyDescent="0.2">
      <c r="P240" s="74"/>
      <c r="Q240" s="67"/>
      <c r="T240" s="67"/>
      <c r="U240" s="67"/>
      <c r="V240" s="67"/>
      <c r="W240" s="67"/>
      <c r="X240" s="67" t="s">
        <v>395</v>
      </c>
      <c r="Y240" s="67" t="e">
        <f>Y236+Y237+Y238+Y239</f>
        <v>#VALUE!</v>
      </c>
      <c r="Z240" s="75">
        <f>Z236+Z237+Z238+Z239</f>
        <v>0</v>
      </c>
      <c r="AA240" s="75">
        <f>AA236+AA237+AA238+AA239</f>
        <v>0</v>
      </c>
    </row>
    <row r="241" spans="16:27" ht="15" customHeight="1" x14ac:dyDescent="0.2">
      <c r="P241" s="74"/>
      <c r="Q241" s="67"/>
      <c r="T241" s="67"/>
      <c r="U241" s="67"/>
      <c r="V241" s="67"/>
      <c r="W241" s="67"/>
      <c r="X241" s="67"/>
      <c r="Y241" s="67"/>
      <c r="Z241" s="67">
        <f>Z240+V234-AA240+X234</f>
        <v>1</v>
      </c>
      <c r="AA241" s="67"/>
    </row>
    <row r="243" spans="16:27" ht="15" customHeight="1" x14ac:dyDescent="0.2">
      <c r="P243" s="61"/>
      <c r="Q243" s="72" t="str">
        <f>SUBSTITUTE(SUBSTITUTE(SUBSTITUTE(SUBSTITUTE(SUBSTITUTE(SUBSTITUTE(SUBSTITUTE(LOWER(G61)," ",""),"from",""),",","+"),"and","+"),"&amp;","+"),"++","+"),"to","-")&amp;"+"</f>
        <v>+</v>
      </c>
      <c r="T243" s="72"/>
      <c r="U243" s="72" t="s">
        <v>394</v>
      </c>
      <c r="V243" s="72">
        <f>LEN(Q243)-LEN(SUBSTITUTE(Q243,"+",""))</f>
        <v>1</v>
      </c>
      <c r="W243" s="72"/>
      <c r="X243" s="72">
        <f>IF(RIGHT(Q243,2)="++",-1,0)</f>
        <v>0</v>
      </c>
      <c r="Y243" s="72"/>
      <c r="Z243" s="72">
        <f>LEN(Q243)-LEN(SUBSTITUTE(Q243,"-",""))+LEN(Q243)-LEN(SUBSTITUTE(LOWER(Q243),"to",""))</f>
        <v>0</v>
      </c>
      <c r="AA243" s="72"/>
    </row>
    <row r="244" spans="16:27" ht="15" customHeight="1" x14ac:dyDescent="0.2">
      <c r="P244" s="61" t="s">
        <v>385</v>
      </c>
      <c r="Q244" s="73">
        <f>LEN(Q243)</f>
        <v>1</v>
      </c>
      <c r="T244" s="72"/>
      <c r="U244" s="72"/>
      <c r="V244" s="72"/>
      <c r="W244" s="72"/>
      <c r="X244" s="72"/>
      <c r="Y244" s="72"/>
      <c r="Z244" s="72"/>
      <c r="AA244" s="72"/>
    </row>
    <row r="245" spans="16:27" ht="15" customHeight="1" x14ac:dyDescent="0.2">
      <c r="P245" s="74" t="s">
        <v>386</v>
      </c>
      <c r="Q245" s="66" t="e">
        <f>FIND("-",Q243)</f>
        <v>#VALUE!</v>
      </c>
      <c r="R245" s="2">
        <f>IF(ISERROR(IF(MID(Q243,Q245-2,1)="+",1,2)),1,2)</f>
        <v>1</v>
      </c>
      <c r="T245" s="67" t="e">
        <f>REPLACE(Q243,Q245,1,"X")</f>
        <v>#VALUE!</v>
      </c>
      <c r="U245" s="74" t="s">
        <v>390</v>
      </c>
      <c r="V245" s="67" t="e">
        <f>FIND("+",RIGHT(T245,W245-Q245))+Q245</f>
        <v>#VALUE!</v>
      </c>
      <c r="W245" s="67" t="e">
        <f>LEN(T245)</f>
        <v>#VALUE!</v>
      </c>
      <c r="X245" s="67" t="e">
        <f>V245-Q245-1</f>
        <v>#VALUE!</v>
      </c>
      <c r="Y245" s="67" t="e">
        <f>MID(Q243,V245-X245,X245)-MID(Q243,Q245-R245,R245)+1</f>
        <v>#VALUE!</v>
      </c>
      <c r="Z245" s="67">
        <f>IF(ISERROR(Y245),0,Y245)</f>
        <v>0</v>
      </c>
      <c r="AA245" s="67">
        <f>IF(OR(Z245="",Z245=0),0,1)</f>
        <v>0</v>
      </c>
    </row>
    <row r="246" spans="16:27" ht="15" customHeight="1" x14ac:dyDescent="0.2">
      <c r="P246" s="74" t="s">
        <v>387</v>
      </c>
      <c r="Q246" s="66" t="e">
        <f>FIND("-",T245)</f>
        <v>#VALUE!</v>
      </c>
      <c r="R246" s="2" t="e">
        <f>IF(MID(Q243,Q246-2,1)="+",1,2)</f>
        <v>#VALUE!</v>
      </c>
      <c r="T246" s="67" t="e">
        <f>REPLACE(T245,Q246,1,"X")</f>
        <v>#VALUE!</v>
      </c>
      <c r="U246" s="74" t="s">
        <v>391</v>
      </c>
      <c r="V246" s="67" t="e">
        <f>FIND("+",RIGHT(T246,W246-Q246))+Q246</f>
        <v>#VALUE!</v>
      </c>
      <c r="W246" s="67" t="e">
        <f>LEN(T246)</f>
        <v>#VALUE!</v>
      </c>
      <c r="X246" s="67" t="e">
        <f>V246-Q246-1</f>
        <v>#VALUE!</v>
      </c>
      <c r="Y246" s="67" t="e">
        <f>MID(T245,V246-X246,X246)-MID(T245,Q246-R246,R246)+1</f>
        <v>#VALUE!</v>
      </c>
      <c r="Z246" s="67">
        <f>IF(ISERROR(Y246),0,Y246)</f>
        <v>0</v>
      </c>
      <c r="AA246" s="67">
        <f>IF(OR(Z246="",Z246=0),0,1)</f>
        <v>0</v>
      </c>
    </row>
    <row r="247" spans="16:27" ht="15" customHeight="1" x14ac:dyDescent="0.2">
      <c r="P247" s="74" t="s">
        <v>388</v>
      </c>
      <c r="Q247" s="66" t="e">
        <f>FIND("-",T246)</f>
        <v>#VALUE!</v>
      </c>
      <c r="R247" s="2" t="e">
        <f>IF(MID(Q244,Q247-2,1)="+",1,2)</f>
        <v>#VALUE!</v>
      </c>
      <c r="T247" s="67" t="e">
        <f>REPLACE(T246,Q247,1,"X")</f>
        <v>#VALUE!</v>
      </c>
      <c r="U247" s="74" t="s">
        <v>392</v>
      </c>
      <c r="V247" s="67" t="e">
        <f>FIND("+",RIGHT(T247,W247-Q247))+Q247</f>
        <v>#VALUE!</v>
      </c>
      <c r="W247" s="67" t="e">
        <f>LEN(T247)</f>
        <v>#VALUE!</v>
      </c>
      <c r="X247" s="67" t="e">
        <f>V247-Q247-1</f>
        <v>#VALUE!</v>
      </c>
      <c r="Y247" s="67" t="e">
        <f>MID(T246,V247-X247,X247)-MID(T246,Q247-R247,R247)+1</f>
        <v>#VALUE!</v>
      </c>
      <c r="Z247" s="67">
        <f>IF(ISERROR(Y247),0,Y247)</f>
        <v>0</v>
      </c>
      <c r="AA247" s="67">
        <f>IF(OR(Z247="",Z247=0),0,1)</f>
        <v>0</v>
      </c>
    </row>
    <row r="248" spans="16:27" ht="15" customHeight="1" x14ac:dyDescent="0.2">
      <c r="P248" s="74" t="s">
        <v>389</v>
      </c>
      <c r="Q248" s="66" t="e">
        <f>FIND("-",T247)</f>
        <v>#VALUE!</v>
      </c>
      <c r="R248" s="2" t="e">
        <f>IF(MID(Q245,Q248-2,1)="+",1,2)</f>
        <v>#VALUE!</v>
      </c>
      <c r="T248" s="67" t="e">
        <f>REPLACE(T247,Q248,1,"X")</f>
        <v>#VALUE!</v>
      </c>
      <c r="U248" s="74" t="s">
        <v>393</v>
      </c>
      <c r="V248" s="67" t="e">
        <f>FIND("+",RIGHT(T248,W248-Q248))+Q248</f>
        <v>#VALUE!</v>
      </c>
      <c r="W248" s="67" t="e">
        <f>LEN(T248)</f>
        <v>#VALUE!</v>
      </c>
      <c r="X248" s="67" t="e">
        <f>V248-Q248-1</f>
        <v>#VALUE!</v>
      </c>
      <c r="Y248" s="67" t="e">
        <f>MID(T247,V248-X248,X248)-MID(T247,Q248-R248,R248)+1</f>
        <v>#VALUE!</v>
      </c>
      <c r="Z248" s="67">
        <f>IF(ISERROR(Y248),0,Y248)</f>
        <v>0</v>
      </c>
      <c r="AA248" s="67">
        <f>IF(OR(Z248="",Z248=0),0,1)</f>
        <v>0</v>
      </c>
    </row>
    <row r="249" spans="16:27" ht="15" customHeight="1" x14ac:dyDescent="0.2">
      <c r="P249" s="74"/>
      <c r="Q249" s="67"/>
      <c r="T249" s="67"/>
      <c r="U249" s="67"/>
      <c r="V249" s="67"/>
      <c r="W249" s="67"/>
      <c r="X249" s="67" t="s">
        <v>395</v>
      </c>
      <c r="Y249" s="67" t="e">
        <f>Y245+Y246+Y247+Y248</f>
        <v>#VALUE!</v>
      </c>
      <c r="Z249" s="75">
        <f>Z245+Z246+Z247+Z248</f>
        <v>0</v>
      </c>
      <c r="AA249" s="75">
        <f>AA245+AA246+AA247+AA248</f>
        <v>0</v>
      </c>
    </row>
    <row r="250" spans="16:27" ht="15" customHeight="1" x14ac:dyDescent="0.2">
      <c r="P250" s="74"/>
      <c r="Q250" s="67"/>
      <c r="T250" s="67"/>
      <c r="U250" s="67"/>
      <c r="V250" s="67"/>
      <c r="W250" s="67"/>
      <c r="X250" s="67"/>
      <c r="Y250" s="67"/>
      <c r="Z250" s="67">
        <f>Z249+V243-AA249+X243</f>
        <v>1</v>
      </c>
      <c r="AA250" s="67"/>
    </row>
    <row r="252" spans="16:27" ht="15" customHeight="1" x14ac:dyDescent="0.2">
      <c r="P252" s="61"/>
      <c r="Q252" s="72" t="str">
        <f>SUBSTITUTE(SUBSTITUTE(SUBSTITUTE(SUBSTITUTE(SUBSTITUTE(SUBSTITUTE(SUBSTITUTE(LOWER(G62)," ",""),"from",""),",","+"),"and","+"),"&amp;","+"),"++","+"),"to","-")&amp;"+"</f>
        <v>+</v>
      </c>
      <c r="T252" s="72"/>
      <c r="U252" s="72" t="s">
        <v>394</v>
      </c>
      <c r="V252" s="72">
        <f>LEN(Q252)-LEN(SUBSTITUTE(Q252,"+",""))</f>
        <v>1</v>
      </c>
      <c r="W252" s="72"/>
      <c r="X252" s="72">
        <f>IF(RIGHT(Q252,2)="++",-1,0)</f>
        <v>0</v>
      </c>
      <c r="Y252" s="72"/>
      <c r="Z252" s="72">
        <f>LEN(Q252)-LEN(SUBSTITUTE(Q252,"-",""))+LEN(Q252)-LEN(SUBSTITUTE(LOWER(Q252),"to",""))</f>
        <v>0</v>
      </c>
      <c r="AA252" s="72"/>
    </row>
    <row r="253" spans="16:27" ht="15" customHeight="1" x14ac:dyDescent="0.2">
      <c r="P253" s="61" t="s">
        <v>385</v>
      </c>
      <c r="Q253" s="73">
        <f>LEN(Q252)</f>
        <v>1</v>
      </c>
      <c r="T253" s="72"/>
      <c r="U253" s="72"/>
      <c r="V253" s="72"/>
      <c r="W253" s="72"/>
      <c r="X253" s="72"/>
      <c r="Y253" s="72"/>
      <c r="Z253" s="72"/>
      <c r="AA253" s="72"/>
    </row>
    <row r="254" spans="16:27" ht="15" customHeight="1" x14ac:dyDescent="0.2">
      <c r="P254" s="74" t="s">
        <v>386</v>
      </c>
      <c r="Q254" s="66" t="e">
        <f>FIND("-",Q252)</f>
        <v>#VALUE!</v>
      </c>
      <c r="R254" s="2">
        <f>IF(ISERROR(IF(MID(Q252,Q254-2,1)="+",1,2)),1,2)</f>
        <v>1</v>
      </c>
      <c r="T254" s="67" t="e">
        <f>REPLACE(Q252,Q254,1,"X")</f>
        <v>#VALUE!</v>
      </c>
      <c r="U254" s="74" t="s">
        <v>390</v>
      </c>
      <c r="V254" s="67" t="e">
        <f>FIND("+",RIGHT(T254,W254-Q254))+Q254</f>
        <v>#VALUE!</v>
      </c>
      <c r="W254" s="67" t="e">
        <f>LEN(T254)</f>
        <v>#VALUE!</v>
      </c>
      <c r="X254" s="67" t="e">
        <f>V254-Q254-1</f>
        <v>#VALUE!</v>
      </c>
      <c r="Y254" s="67" t="e">
        <f>MID(Q252,V254-X254,X254)-MID(Q252,Q254-R254,R254)+1</f>
        <v>#VALUE!</v>
      </c>
      <c r="Z254" s="67">
        <f>IF(ISERROR(Y254),0,Y254)</f>
        <v>0</v>
      </c>
      <c r="AA254" s="67">
        <f>IF(OR(Z254="",Z254=0),0,1)</f>
        <v>0</v>
      </c>
    </row>
    <row r="255" spans="16:27" ht="15" customHeight="1" x14ac:dyDescent="0.2">
      <c r="P255" s="74" t="s">
        <v>387</v>
      </c>
      <c r="Q255" s="66" t="e">
        <f>FIND("-",T254)</f>
        <v>#VALUE!</v>
      </c>
      <c r="R255" s="2" t="e">
        <f>IF(MID(Q252,Q255-2,1)="+",1,2)</f>
        <v>#VALUE!</v>
      </c>
      <c r="T255" s="67" t="e">
        <f>REPLACE(T254,Q255,1,"X")</f>
        <v>#VALUE!</v>
      </c>
      <c r="U255" s="74" t="s">
        <v>391</v>
      </c>
      <c r="V255" s="67" t="e">
        <f>FIND("+",RIGHT(T255,W255-Q255))+Q255</f>
        <v>#VALUE!</v>
      </c>
      <c r="W255" s="67" t="e">
        <f>LEN(T255)</f>
        <v>#VALUE!</v>
      </c>
      <c r="X255" s="67" t="e">
        <f>V255-Q255-1</f>
        <v>#VALUE!</v>
      </c>
      <c r="Y255" s="67" t="e">
        <f>MID(T254,V255-X255,X255)-MID(T254,Q255-R255,R255)+1</f>
        <v>#VALUE!</v>
      </c>
      <c r="Z255" s="67">
        <f>IF(ISERROR(Y255),0,Y255)</f>
        <v>0</v>
      </c>
      <c r="AA255" s="67">
        <f>IF(OR(Z255="",Z255=0),0,1)</f>
        <v>0</v>
      </c>
    </row>
    <row r="256" spans="16:27" ht="15" customHeight="1" x14ac:dyDescent="0.2">
      <c r="P256" s="74" t="s">
        <v>388</v>
      </c>
      <c r="Q256" s="66" t="e">
        <f>FIND("-",T255)</f>
        <v>#VALUE!</v>
      </c>
      <c r="R256" s="2" t="e">
        <f>IF(MID(Q253,Q256-2,1)="+",1,2)</f>
        <v>#VALUE!</v>
      </c>
      <c r="T256" s="67" t="e">
        <f>REPLACE(T255,Q256,1,"X")</f>
        <v>#VALUE!</v>
      </c>
      <c r="U256" s="74" t="s">
        <v>392</v>
      </c>
      <c r="V256" s="67" t="e">
        <f>FIND("+",RIGHT(T256,W256-Q256))+Q256</f>
        <v>#VALUE!</v>
      </c>
      <c r="W256" s="67" t="e">
        <f>LEN(T256)</f>
        <v>#VALUE!</v>
      </c>
      <c r="X256" s="67" t="e">
        <f>V256-Q256-1</f>
        <v>#VALUE!</v>
      </c>
      <c r="Y256" s="67" t="e">
        <f>MID(T255,V256-X256,X256)-MID(T255,Q256-R256,R256)+1</f>
        <v>#VALUE!</v>
      </c>
      <c r="Z256" s="67">
        <f>IF(ISERROR(Y256),0,Y256)</f>
        <v>0</v>
      </c>
      <c r="AA256" s="67">
        <f>IF(OR(Z256="",Z256=0),0,1)</f>
        <v>0</v>
      </c>
    </row>
    <row r="257" spans="16:27" ht="15" customHeight="1" x14ac:dyDescent="0.2">
      <c r="P257" s="74" t="s">
        <v>389</v>
      </c>
      <c r="Q257" s="66" t="e">
        <f>FIND("-",T256)</f>
        <v>#VALUE!</v>
      </c>
      <c r="R257" s="2" t="e">
        <f>IF(MID(Q254,Q257-2,1)="+",1,2)</f>
        <v>#VALUE!</v>
      </c>
      <c r="T257" s="67" t="e">
        <f>REPLACE(T256,Q257,1,"X")</f>
        <v>#VALUE!</v>
      </c>
      <c r="U257" s="74" t="s">
        <v>393</v>
      </c>
      <c r="V257" s="67" t="e">
        <f>FIND("+",RIGHT(T257,W257-Q257))+Q257</f>
        <v>#VALUE!</v>
      </c>
      <c r="W257" s="67" t="e">
        <f>LEN(T257)</f>
        <v>#VALUE!</v>
      </c>
      <c r="X257" s="67" t="e">
        <f>V257-Q257-1</f>
        <v>#VALUE!</v>
      </c>
      <c r="Y257" s="67" t="e">
        <f>MID(T256,V257-X257,X257)-MID(T256,Q257-R257,R257)+1</f>
        <v>#VALUE!</v>
      </c>
      <c r="Z257" s="67">
        <f>IF(ISERROR(Y257),0,Y257)</f>
        <v>0</v>
      </c>
      <c r="AA257" s="67">
        <f>IF(OR(Z257="",Z257=0),0,1)</f>
        <v>0</v>
      </c>
    </row>
    <row r="258" spans="16:27" ht="15" customHeight="1" x14ac:dyDescent="0.2">
      <c r="P258" s="74"/>
      <c r="Q258" s="67"/>
      <c r="T258" s="67"/>
      <c r="U258" s="67"/>
      <c r="V258" s="67"/>
      <c r="W258" s="67"/>
      <c r="X258" s="67" t="s">
        <v>395</v>
      </c>
      <c r="Y258" s="67" t="e">
        <f>Y254+Y255+Y256+Y257</f>
        <v>#VALUE!</v>
      </c>
      <c r="Z258" s="75">
        <f>Z254+Z255+Z256+Z257</f>
        <v>0</v>
      </c>
      <c r="AA258" s="75">
        <f>AA254+AA255+AA256+AA257</f>
        <v>0</v>
      </c>
    </row>
    <row r="259" spans="16:27" ht="15" customHeight="1" x14ac:dyDescent="0.2">
      <c r="P259" s="74"/>
      <c r="Q259" s="67"/>
      <c r="T259" s="67"/>
      <c r="U259" s="67"/>
      <c r="V259" s="67"/>
      <c r="W259" s="67"/>
      <c r="X259" s="67"/>
      <c r="Y259" s="67"/>
      <c r="Z259" s="67">
        <f>Z258+V252-AA258+X252</f>
        <v>1</v>
      </c>
      <c r="AA259" s="67"/>
    </row>
  </sheetData>
  <sheetProtection sheet="1" objects="1" scenarios="1"/>
  <mergeCells count="305">
    <mergeCell ref="G12:I12"/>
    <mergeCell ref="G17:I17"/>
    <mergeCell ref="E25:F25"/>
    <mergeCell ref="G25:M25"/>
    <mergeCell ref="F89:G89"/>
    <mergeCell ref="F88:G88"/>
    <mergeCell ref="F87:G87"/>
    <mergeCell ref="F86:G86"/>
    <mergeCell ref="F85:G85"/>
    <mergeCell ref="F84:G84"/>
    <mergeCell ref="K32:M32"/>
    <mergeCell ref="K35:M35"/>
    <mergeCell ref="K38:M38"/>
    <mergeCell ref="K41:M41"/>
    <mergeCell ref="J61:M61"/>
    <mergeCell ref="J62:M62"/>
    <mergeCell ref="G58:H58"/>
    <mergeCell ref="C65:M65"/>
    <mergeCell ref="H40:M40"/>
    <mergeCell ref="H41:I41"/>
    <mergeCell ref="H42:M42"/>
    <mergeCell ref="C44:M44"/>
    <mergeCell ref="C16:D16"/>
    <mergeCell ref="E18:G18"/>
    <mergeCell ref="C137:D137"/>
    <mergeCell ref="F117:H117"/>
    <mergeCell ref="F116:H116"/>
    <mergeCell ref="F115:H115"/>
    <mergeCell ref="F114:H114"/>
    <mergeCell ref="F113:H113"/>
    <mergeCell ref="F112:H112"/>
    <mergeCell ref="F111:H111"/>
    <mergeCell ref="F110:H110"/>
    <mergeCell ref="C134:M134"/>
    <mergeCell ref="C135:M135"/>
    <mergeCell ref="C119:M119"/>
    <mergeCell ref="G127:I127"/>
    <mergeCell ref="G128:I128"/>
    <mergeCell ref="G129:I129"/>
    <mergeCell ref="D130:F130"/>
    <mergeCell ref="D131:F131"/>
    <mergeCell ref="J123:M123"/>
    <mergeCell ref="J124:M124"/>
    <mergeCell ref="J125:M125"/>
    <mergeCell ref="J126:M126"/>
    <mergeCell ref="G130:I130"/>
    <mergeCell ref="G131:I131"/>
    <mergeCell ref="J130:M130"/>
    <mergeCell ref="L8:M8"/>
    <mergeCell ref="D132:F132"/>
    <mergeCell ref="G132:I132"/>
    <mergeCell ref="D106:F106"/>
    <mergeCell ref="E74:F74"/>
    <mergeCell ref="E75:F75"/>
    <mergeCell ref="E77:F77"/>
    <mergeCell ref="E76:F76"/>
    <mergeCell ref="J50:M52"/>
    <mergeCell ref="G59:H59"/>
    <mergeCell ref="G60:H60"/>
    <mergeCell ref="G61:H61"/>
    <mergeCell ref="G62:H62"/>
    <mergeCell ref="J53:M53"/>
    <mergeCell ref="J54:M54"/>
    <mergeCell ref="J55:M55"/>
    <mergeCell ref="J56:M56"/>
    <mergeCell ref="F93:G93"/>
    <mergeCell ref="F92:G92"/>
    <mergeCell ref="G16:M16"/>
    <mergeCell ref="G15:M15"/>
    <mergeCell ref="E13:F13"/>
    <mergeCell ref="G13:M13"/>
    <mergeCell ref="F91:G91"/>
    <mergeCell ref="C139:M139"/>
    <mergeCell ref="J132:M132"/>
    <mergeCell ref="C140:D140"/>
    <mergeCell ref="G140:M140"/>
    <mergeCell ref="E140:F140"/>
    <mergeCell ref="E68:F69"/>
    <mergeCell ref="G106:H106"/>
    <mergeCell ref="J106:M106"/>
    <mergeCell ref="C98:M98"/>
    <mergeCell ref="G101:H102"/>
    <mergeCell ref="G103:H103"/>
    <mergeCell ref="G104:H104"/>
    <mergeCell ref="G105:H105"/>
    <mergeCell ref="D103:F103"/>
    <mergeCell ref="D104:F104"/>
    <mergeCell ref="D105:F105"/>
    <mergeCell ref="D101:F102"/>
    <mergeCell ref="C95:M95"/>
    <mergeCell ref="E79:F79"/>
    <mergeCell ref="J103:M103"/>
    <mergeCell ref="J104:M104"/>
    <mergeCell ref="J105:M105"/>
    <mergeCell ref="I101:I102"/>
    <mergeCell ref="J101:M102"/>
    <mergeCell ref="C1:M2"/>
    <mergeCell ref="C3:K3"/>
    <mergeCell ref="C9:M10"/>
    <mergeCell ref="C11:D11"/>
    <mergeCell ref="E11:M11"/>
    <mergeCell ref="C28:D28"/>
    <mergeCell ref="C30:D30"/>
    <mergeCell ref="C31:D31"/>
    <mergeCell ref="E31:G31"/>
    <mergeCell ref="E30:G30"/>
    <mergeCell ref="E28:G28"/>
    <mergeCell ref="H28:M28"/>
    <mergeCell ref="H30:M30"/>
    <mergeCell ref="H31:M31"/>
    <mergeCell ref="H29:M29"/>
    <mergeCell ref="D7:F7"/>
    <mergeCell ref="C12:D12"/>
    <mergeCell ref="C23:D23"/>
    <mergeCell ref="L3:M3"/>
    <mergeCell ref="J6:K6"/>
    <mergeCell ref="L6:M6"/>
    <mergeCell ref="J7:K7"/>
    <mergeCell ref="L7:M7"/>
    <mergeCell ref="J8:K8"/>
    <mergeCell ref="C4:M4"/>
    <mergeCell ref="E24:G24"/>
    <mergeCell ref="C17:D17"/>
    <mergeCell ref="J5:K5"/>
    <mergeCell ref="L5:M5"/>
    <mergeCell ref="C15:D15"/>
    <mergeCell ref="C14:D14"/>
    <mergeCell ref="C13:D13"/>
    <mergeCell ref="C29:D29"/>
    <mergeCell ref="E27:G27"/>
    <mergeCell ref="E29:G29"/>
    <mergeCell ref="H26:M26"/>
    <mergeCell ref="D5:F5"/>
    <mergeCell ref="G5:I8"/>
    <mergeCell ref="D8:F8"/>
    <mergeCell ref="D6:F6"/>
    <mergeCell ref="J12:K12"/>
    <mergeCell ref="L12:M12"/>
    <mergeCell ref="J17:K17"/>
    <mergeCell ref="L17:M17"/>
    <mergeCell ref="E12:F12"/>
    <mergeCell ref="E14:F14"/>
    <mergeCell ref="E17:F17"/>
    <mergeCell ref="H14:I14"/>
    <mergeCell ref="E19:G19"/>
    <mergeCell ref="E20:G20"/>
    <mergeCell ref="C21:D21"/>
    <mergeCell ref="C22:D22"/>
    <mergeCell ref="C24:D24"/>
    <mergeCell ref="H22:M22"/>
    <mergeCell ref="H27:M27"/>
    <mergeCell ref="E23:G23"/>
    <mergeCell ref="E22:G22"/>
    <mergeCell ref="C26:D26"/>
    <mergeCell ref="C25:D25"/>
    <mergeCell ref="C27:D27"/>
    <mergeCell ref="E26:G26"/>
    <mergeCell ref="C68:C69"/>
    <mergeCell ref="D68:D69"/>
    <mergeCell ref="G55:H55"/>
    <mergeCell ref="F51:F52"/>
    <mergeCell ref="I51:I52"/>
    <mergeCell ref="G56:H56"/>
    <mergeCell ref="G57:H57"/>
    <mergeCell ref="G54:H54"/>
    <mergeCell ref="D51:E52"/>
    <mergeCell ref="G51:H52"/>
    <mergeCell ref="D58:E58"/>
    <mergeCell ref="D59:E59"/>
    <mergeCell ref="D60:E60"/>
    <mergeCell ref="C66:M66"/>
    <mergeCell ref="G68:I69"/>
    <mergeCell ref="J68:M69"/>
    <mergeCell ref="G53:H53"/>
    <mergeCell ref="D62:E62"/>
    <mergeCell ref="D61:E61"/>
    <mergeCell ref="D54:E54"/>
    <mergeCell ref="D57:E57"/>
    <mergeCell ref="C18:D18"/>
    <mergeCell ref="C19:D19"/>
    <mergeCell ref="C20:D20"/>
    <mergeCell ref="D55:E55"/>
    <mergeCell ref="D56:E56"/>
    <mergeCell ref="H36:M36"/>
    <mergeCell ref="H37:M37"/>
    <mergeCell ref="H39:M39"/>
    <mergeCell ref="E33:G33"/>
    <mergeCell ref="H33:M33"/>
    <mergeCell ref="E39:G39"/>
    <mergeCell ref="E38:G38"/>
    <mergeCell ref="E37:G37"/>
    <mergeCell ref="E36:G36"/>
    <mergeCell ref="E35:G35"/>
    <mergeCell ref="E34:G34"/>
    <mergeCell ref="C50:C52"/>
    <mergeCell ref="H34:M34"/>
    <mergeCell ref="H35:I35"/>
    <mergeCell ref="H18:M18"/>
    <mergeCell ref="H19:M19"/>
    <mergeCell ref="H20:M20"/>
    <mergeCell ref="H24:M24"/>
    <mergeCell ref="H23:M23"/>
    <mergeCell ref="C38:D38"/>
    <mergeCell ref="C39:D39"/>
    <mergeCell ref="C40:D40"/>
    <mergeCell ref="H21:M21"/>
    <mergeCell ref="E21:G21"/>
    <mergeCell ref="J57:M57"/>
    <mergeCell ref="G50:I50"/>
    <mergeCell ref="D50:F50"/>
    <mergeCell ref="C45:D45"/>
    <mergeCell ref="E45:M45"/>
    <mergeCell ref="C47:E47"/>
    <mergeCell ref="G47:J47"/>
    <mergeCell ref="L47:M47"/>
    <mergeCell ref="E42:G42"/>
    <mergeCell ref="E41:G41"/>
    <mergeCell ref="E40:G40"/>
    <mergeCell ref="C43:D43"/>
    <mergeCell ref="E43:M43"/>
    <mergeCell ref="J131:M131"/>
    <mergeCell ref="D124:F124"/>
    <mergeCell ref="D125:F125"/>
    <mergeCell ref="D126:F126"/>
    <mergeCell ref="D123:F123"/>
    <mergeCell ref="G123:I123"/>
    <mergeCell ref="G124:I124"/>
    <mergeCell ref="G125:I125"/>
    <mergeCell ref="G126:I126"/>
    <mergeCell ref="J76:M76"/>
    <mergeCell ref="J75:M75"/>
    <mergeCell ref="J74:M74"/>
    <mergeCell ref="G73:I73"/>
    <mergeCell ref="G72:I72"/>
    <mergeCell ref="E70:F70"/>
    <mergeCell ref="E71:F71"/>
    <mergeCell ref="E72:F72"/>
    <mergeCell ref="E73:F73"/>
    <mergeCell ref="G74:I74"/>
    <mergeCell ref="G75:I75"/>
    <mergeCell ref="G76:I76"/>
    <mergeCell ref="J71:M71"/>
    <mergeCell ref="C147:M147"/>
    <mergeCell ref="C141:M141"/>
    <mergeCell ref="C143:E143"/>
    <mergeCell ref="C144:E144"/>
    <mergeCell ref="C145:E145"/>
    <mergeCell ref="C146:E146"/>
    <mergeCell ref="F143:G143"/>
    <mergeCell ref="H143:M143"/>
    <mergeCell ref="H144:M144"/>
    <mergeCell ref="H145:M145"/>
    <mergeCell ref="H146:M146"/>
    <mergeCell ref="C142:M142"/>
    <mergeCell ref="F144:G144"/>
    <mergeCell ref="F145:G145"/>
    <mergeCell ref="F146:G146"/>
    <mergeCell ref="J14:K14"/>
    <mergeCell ref="L14:M14"/>
    <mergeCell ref="E15:F15"/>
    <mergeCell ref="E16:F16"/>
    <mergeCell ref="J73:M73"/>
    <mergeCell ref="J72:M72"/>
    <mergeCell ref="G71:I71"/>
    <mergeCell ref="G70:I70"/>
    <mergeCell ref="J70:M70"/>
    <mergeCell ref="J60:M60"/>
    <mergeCell ref="C67:M67"/>
    <mergeCell ref="C32:D32"/>
    <mergeCell ref="C33:D33"/>
    <mergeCell ref="C34:D34"/>
    <mergeCell ref="C35:D35"/>
    <mergeCell ref="C41:D41"/>
    <mergeCell ref="C42:D42"/>
    <mergeCell ref="E32:G32"/>
    <mergeCell ref="J58:M58"/>
    <mergeCell ref="J59:M59"/>
    <mergeCell ref="C49:M49"/>
    <mergeCell ref="D53:E53"/>
    <mergeCell ref="C36:D36"/>
    <mergeCell ref="C37:D37"/>
    <mergeCell ref="J78:M78"/>
    <mergeCell ref="J77:M77"/>
    <mergeCell ref="J127:M127"/>
    <mergeCell ref="J128:M128"/>
    <mergeCell ref="J129:M129"/>
    <mergeCell ref="C120:M120"/>
    <mergeCell ref="C121:C122"/>
    <mergeCell ref="D121:F122"/>
    <mergeCell ref="G121:I122"/>
    <mergeCell ref="J121:M122"/>
    <mergeCell ref="D127:F127"/>
    <mergeCell ref="D128:F128"/>
    <mergeCell ref="D129:F129"/>
    <mergeCell ref="C82:M82"/>
    <mergeCell ref="E78:F78"/>
    <mergeCell ref="C81:M81"/>
    <mergeCell ref="C101:C102"/>
    <mergeCell ref="C97:M97"/>
    <mergeCell ref="F96:M96"/>
    <mergeCell ref="G77:I77"/>
    <mergeCell ref="G78:I78"/>
    <mergeCell ref="G79:I79"/>
    <mergeCell ref="J79:M79"/>
    <mergeCell ref="F90:G90"/>
  </mergeCells>
  <dataValidations count="13">
    <dataValidation type="list" allowBlank="1" showInputMessage="1" sqref="F145:G145" xr:uid="{00000000-0002-0000-0000-000000000000}">
      <formula1>$A$157:$A$159</formula1>
    </dataValidation>
    <dataValidation type="list" allowBlank="1" showInputMessage="1" sqref="F146:G146" xr:uid="{00000000-0002-0000-0000-000001000000}">
      <formula1>$A$160</formula1>
    </dataValidation>
    <dataValidation type="list" allowBlank="1" showInputMessage="1" sqref="F144:G144" xr:uid="{00000000-0002-0000-0000-000002000000}">
      <formula1>$A$151:$A$152</formula1>
    </dataValidation>
    <dataValidation type="list" allowBlank="1" showInputMessage="1" sqref="J12 E12" xr:uid="{00000000-0002-0000-0000-000003000000}">
      <formula1>$A$12:$A$14</formula1>
    </dataValidation>
    <dataValidation type="list" allowBlank="1" showInputMessage="1" sqref="E14" xr:uid="{00000000-0002-0000-0000-000004000000}">
      <formula1>$A$18:$A$22</formula1>
    </dataValidation>
    <dataValidation type="list" allowBlank="1" showInputMessage="1" sqref="E17" xr:uid="{00000000-0002-0000-0000-000005000000}">
      <formula1>$A$25:$A$26</formula1>
    </dataValidation>
    <dataValidation type="list" allowBlank="1" showInputMessage="1" sqref="E24" xr:uid="{00000000-0002-0000-0000-000006000000}">
      <formula1>$A$43:$A$44</formula1>
    </dataValidation>
    <dataValidation type="list" allowBlank="1" showInputMessage="1" sqref="G133" xr:uid="{00000000-0002-0000-0000-000007000000}">
      <formula1>$A$121:$A$124</formula1>
    </dataValidation>
    <dataValidation type="list" allowBlank="1" showInputMessage="1" sqref="E26:G26" xr:uid="{00000000-0002-0000-0000-000008000000}">
      <formula1>$P$3:$P$4</formula1>
    </dataValidation>
    <dataValidation type="list" allowBlank="1" showInputMessage="1" sqref="G123:I132" xr:uid="{00000000-0002-0000-0000-000009000000}">
      <formula1>$A$121:$A$125</formula1>
    </dataValidation>
    <dataValidation type="list" allowBlank="1" showInputMessage="1" sqref="D123:F132" xr:uid="{00000000-0002-0000-0000-00000A000000}">
      <formula1>$A$126:$A$134</formula1>
    </dataValidation>
    <dataValidation type="list" allowBlank="1" showInputMessage="1" sqref="C140:D140" xr:uid="{00000000-0002-0000-0000-00000B000000}">
      <formula1>$A$140:$A$143</formula1>
    </dataValidation>
    <dataValidation type="list" allowBlank="1" showInputMessage="1" sqref="F143:G143" xr:uid="{00000000-0002-0000-0000-00000C000000}">
      <formula1>$A$146:$A$150</formula1>
    </dataValidation>
  </dataValidations>
  <pageMargins left="0.70866141732283472" right="0.70866141732283472" top="0.74803149606299213" bottom="0.74803149606299213" header="0.31496062992125984" footer="0.31496062992125984"/>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ildingAddRow">
                <anchor moveWithCells="1" sizeWithCells="1">
                  <from>
                    <xdr:col>11</xdr:col>
                    <xdr:colOff>19050</xdr:colOff>
                    <xdr:row>48</xdr:row>
                    <xdr:rowOff>9525</xdr:rowOff>
                  </from>
                  <to>
                    <xdr:col>13</xdr:col>
                    <xdr:colOff>0</xdr:colOff>
                    <xdr:row>48</xdr:row>
                    <xdr:rowOff>180975</xdr:rowOff>
                  </to>
                </anchor>
              </controlPr>
            </control>
          </mc:Choice>
        </mc:AlternateContent>
        <mc:AlternateContent xmlns:mc="http://schemas.openxmlformats.org/markup-compatibility/2006">
          <mc:Choice Requires="x14">
            <control shapeId="1031" r:id="rId5" name="Button 7">
              <controlPr defaultSize="0" print="0" autoFill="0" autoPict="0" macro="[0]!PhaseAddRow">
                <anchor moveWithCells="1" sizeWithCells="1">
                  <from>
                    <xdr:col>11</xdr:col>
                    <xdr:colOff>19050</xdr:colOff>
                    <xdr:row>66</xdr:row>
                    <xdr:rowOff>9525</xdr:rowOff>
                  </from>
                  <to>
                    <xdr:col>13</xdr:col>
                    <xdr:colOff>0</xdr:colOff>
                    <xdr:row>66</xdr:row>
                    <xdr:rowOff>180975</xdr:rowOff>
                  </to>
                </anchor>
              </controlPr>
            </control>
          </mc:Choice>
        </mc:AlternateContent>
        <mc:AlternateContent xmlns:mc="http://schemas.openxmlformats.org/markup-compatibility/2006">
          <mc:Choice Requires="x14">
            <control shapeId="1036" r:id="rId6" name="Button 12">
              <controlPr defaultSize="0" print="0" autoFill="0" autoPict="0" macro="[0]!AttachmentAddRow">
                <anchor moveWithCells="1" sizeWithCells="1">
                  <from>
                    <xdr:col>11</xdr:col>
                    <xdr:colOff>19050</xdr:colOff>
                    <xdr:row>119</xdr:row>
                    <xdr:rowOff>9525</xdr:rowOff>
                  </from>
                  <to>
                    <xdr:col>13</xdr:col>
                    <xdr:colOff>0</xdr:colOff>
                    <xdr:row>119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J649"/>
  <sheetViews>
    <sheetView showGridLines="0" showRowColHeaders="0" showWhiteSpace="0" topLeftCell="B34" zoomScale="115" zoomScaleNormal="115" workbookViewId="0">
      <selection activeCell="XFD91" sqref="XFD91"/>
    </sheetView>
  </sheetViews>
  <sheetFormatPr defaultColWidth="5.6328125" defaultRowHeight="15" customHeight="1" x14ac:dyDescent="0.2"/>
  <cols>
    <col min="1" max="1" width="5.6328125" style="28" hidden="1" customWidth="1"/>
    <col min="2" max="13" width="5.6328125" style="2" customWidth="1"/>
    <col min="14" max="14" width="6.54296875" style="2" hidden="1" customWidth="1"/>
    <col min="15" max="15" width="0" style="26" hidden="1" customWidth="1"/>
    <col min="16" max="16" width="10.08984375" style="26" hidden="1" customWidth="1"/>
    <col min="17" max="17" width="20.54296875" style="26" hidden="1" customWidth="1"/>
    <col min="18" max="18" width="18.1796875" style="26" hidden="1" customWidth="1"/>
    <col min="19" max="19" width="0" style="26" hidden="1" customWidth="1"/>
    <col min="20" max="23" width="0" style="2" hidden="1" customWidth="1"/>
    <col min="24" max="24" width="2.453125" style="2" hidden="1" customWidth="1"/>
    <col min="25" max="25" width="0.6328125" style="2" hidden="1" customWidth="1"/>
    <col min="26" max="16383" width="0" style="2" hidden="1" customWidth="1"/>
    <col min="16384" max="16384" width="5.6328125" style="2"/>
  </cols>
  <sheetData>
    <row r="1" spans="1:32" s="18" customFormat="1" ht="15" hidden="1" customHeight="1" x14ac:dyDescent="0.2">
      <c r="A1" s="28"/>
      <c r="O1" s="30"/>
      <c r="P1" s="30"/>
      <c r="Q1" s="30"/>
      <c r="R1" s="30"/>
      <c r="S1" s="30"/>
      <c r="AA1" s="135"/>
      <c r="AB1" s="135"/>
      <c r="AC1" s="135"/>
      <c r="AD1" s="135"/>
      <c r="AE1" s="135"/>
      <c r="AF1" s="135"/>
    </row>
    <row r="2" spans="1:32" s="18" customFormat="1" ht="15" hidden="1" customHeight="1" x14ac:dyDescent="0.2">
      <c r="A2" s="28"/>
      <c r="C2" s="5"/>
      <c r="D2" s="5"/>
      <c r="E2" s="5"/>
      <c r="F2" s="5"/>
      <c r="G2" s="5"/>
      <c r="H2" s="5"/>
      <c r="I2" s="5"/>
      <c r="J2" s="5"/>
      <c r="K2" s="5"/>
      <c r="L2" s="5"/>
      <c r="M2" s="5"/>
      <c r="N2" s="5"/>
      <c r="O2" s="135"/>
      <c r="P2" s="30"/>
      <c r="Q2" s="30"/>
      <c r="R2" s="30"/>
      <c r="S2" s="30"/>
      <c r="AA2" s="135"/>
    </row>
    <row r="3" spans="1:32" s="18" customFormat="1" ht="15" customHeight="1" x14ac:dyDescent="0.2">
      <c r="A3" s="28"/>
      <c r="C3" s="350"/>
      <c r="D3" s="350"/>
      <c r="E3" s="350"/>
      <c r="F3" s="350"/>
      <c r="G3" s="350"/>
      <c r="H3" s="350"/>
      <c r="I3" s="350"/>
      <c r="J3" s="350"/>
      <c r="K3" s="350"/>
      <c r="L3" s="371" t="s">
        <v>444</v>
      </c>
      <c r="M3" s="371"/>
      <c r="N3" s="139"/>
      <c r="O3" s="135"/>
      <c r="P3" s="30"/>
      <c r="Q3" s="30"/>
      <c r="R3" s="30"/>
      <c r="S3" s="30"/>
      <c r="AA3" s="135"/>
    </row>
    <row r="4" spans="1:32" ht="15" customHeight="1" thickBot="1" x14ac:dyDescent="0.25">
      <c r="C4" s="213" t="s">
        <v>0</v>
      </c>
      <c r="D4" s="213"/>
      <c r="E4" s="213"/>
      <c r="F4" s="213"/>
      <c r="G4" s="213"/>
      <c r="H4" s="213"/>
      <c r="I4" s="213"/>
      <c r="J4" s="213"/>
      <c r="K4" s="213"/>
      <c r="L4" s="213"/>
      <c r="M4" s="213"/>
      <c r="N4" s="136"/>
      <c r="O4" s="54"/>
      <c r="AA4" s="54"/>
      <c r="AB4" s="54"/>
      <c r="AC4" s="54"/>
      <c r="AD4" s="54"/>
      <c r="AE4" s="54"/>
      <c r="AF4" s="54"/>
    </row>
    <row r="5" spans="1:32" ht="15" customHeight="1" x14ac:dyDescent="0.2">
      <c r="C5" s="3" t="s">
        <v>1</v>
      </c>
      <c r="D5" s="372" t="str">
        <f>Main!D5</f>
        <v>CA2-5407-04</v>
      </c>
      <c r="E5" s="373"/>
      <c r="F5" s="374"/>
      <c r="G5" s="221"/>
      <c r="H5" s="222"/>
      <c r="I5" s="223"/>
      <c r="J5" s="214" t="s">
        <v>5</v>
      </c>
      <c r="K5" s="215"/>
      <c r="L5" s="375" t="str">
        <f>IF(Main!L5="","",Main!L5)</f>
        <v>CA2-24-001-Rev01</v>
      </c>
      <c r="M5" s="376"/>
      <c r="N5" s="136"/>
      <c r="O5" s="54"/>
      <c r="AA5" s="54"/>
      <c r="AB5" s="54"/>
      <c r="AC5" s="54"/>
      <c r="AD5" s="54"/>
      <c r="AE5" s="54"/>
      <c r="AF5" s="54"/>
    </row>
    <row r="6" spans="1:32" ht="15" customHeight="1" x14ac:dyDescent="0.2">
      <c r="C6" s="4" t="s">
        <v>2</v>
      </c>
      <c r="D6" s="377" t="str">
        <f>Main!D6</f>
        <v>01</v>
      </c>
      <c r="E6" s="378"/>
      <c r="F6" s="379"/>
      <c r="G6" s="224"/>
      <c r="H6" s="225"/>
      <c r="I6" s="226"/>
      <c r="J6" s="248" t="s">
        <v>6</v>
      </c>
      <c r="K6" s="249"/>
      <c r="L6" s="380" t="str">
        <f>IF(Main!L6="","",Main!L6)</f>
        <v>REV01</v>
      </c>
      <c r="M6" s="377"/>
      <c r="N6" s="136"/>
      <c r="O6" s="54"/>
      <c r="AA6" s="54"/>
      <c r="AB6" s="54"/>
      <c r="AC6" s="54"/>
      <c r="AD6" s="54"/>
      <c r="AE6" s="54"/>
      <c r="AF6" s="54"/>
    </row>
    <row r="7" spans="1:32" ht="15" customHeight="1" x14ac:dyDescent="0.2">
      <c r="C7" s="4" t="s">
        <v>3</v>
      </c>
      <c r="D7" s="381">
        <f>Main!D7</f>
        <v>45446</v>
      </c>
      <c r="E7" s="382"/>
      <c r="F7" s="383"/>
      <c r="G7" s="224"/>
      <c r="H7" s="225"/>
      <c r="I7" s="226"/>
      <c r="J7" s="248" t="s">
        <v>7</v>
      </c>
      <c r="K7" s="249"/>
      <c r="L7" s="384">
        <f>IF(Main!L7="","",Main!L7)</f>
        <v>45268</v>
      </c>
      <c r="M7" s="381"/>
      <c r="N7" s="136"/>
      <c r="O7" s="54"/>
      <c r="AA7" s="54"/>
      <c r="AB7" s="54"/>
      <c r="AC7" s="54"/>
      <c r="AD7" s="54"/>
      <c r="AE7" s="54"/>
      <c r="AF7" s="54"/>
    </row>
    <row r="8" spans="1:32" ht="15" customHeight="1" thickBot="1" x14ac:dyDescent="0.25">
      <c r="C8" s="7" t="s">
        <v>4</v>
      </c>
      <c r="D8" s="385" t="str">
        <f>Main!D8</f>
        <v>NAJRIS FOR CONTRACTING EST</v>
      </c>
      <c r="E8" s="386"/>
      <c r="F8" s="387"/>
      <c r="G8" s="227"/>
      <c r="H8" s="228"/>
      <c r="I8" s="229"/>
      <c r="J8" s="253" t="s">
        <v>339</v>
      </c>
      <c r="K8" s="254"/>
      <c r="L8" s="388"/>
      <c r="M8" s="389"/>
      <c r="N8" s="136"/>
      <c r="O8" s="54"/>
      <c r="AA8" s="54"/>
      <c r="AB8" s="54"/>
      <c r="AC8" s="54"/>
      <c r="AD8" s="54"/>
      <c r="AE8" s="54"/>
      <c r="AF8" s="54"/>
    </row>
    <row r="9" spans="1:32" ht="15" customHeight="1" x14ac:dyDescent="0.2">
      <c r="C9" s="243"/>
      <c r="D9" s="243"/>
      <c r="E9" s="243"/>
      <c r="F9" s="243"/>
      <c r="G9" s="392" t="str">
        <f>"B"&amp;TEXT(O9,"00")&amp;"-A"&amp;TEXT(P9,"00")</f>
        <v>B01-A01</v>
      </c>
      <c r="H9" s="392"/>
      <c r="I9" s="392"/>
      <c r="J9" s="243"/>
      <c r="K9" s="243"/>
      <c r="L9" s="243" t="s">
        <v>11</v>
      </c>
      <c r="M9" s="243"/>
      <c r="N9" s="136"/>
      <c r="O9" s="63">
        <v>1</v>
      </c>
      <c r="P9" s="64">
        <v>1</v>
      </c>
      <c r="AA9" s="54"/>
      <c r="AB9" s="54"/>
      <c r="AC9" s="54"/>
      <c r="AD9" s="54"/>
      <c r="AE9" s="54"/>
      <c r="AF9" s="54"/>
    </row>
    <row r="10" spans="1:32" ht="15" customHeight="1" x14ac:dyDescent="0.2">
      <c r="C10" s="242"/>
      <c r="D10" s="242"/>
      <c r="E10" s="242"/>
      <c r="F10" s="242"/>
      <c r="G10" s="393"/>
      <c r="H10" s="393"/>
      <c r="I10" s="393"/>
      <c r="J10" s="350"/>
      <c r="K10" s="350"/>
      <c r="L10" s="350"/>
      <c r="M10" s="350"/>
      <c r="N10" s="136"/>
      <c r="O10" s="54"/>
      <c r="AA10" s="54"/>
      <c r="AB10" s="54"/>
      <c r="AC10" s="54"/>
      <c r="AD10" s="54"/>
      <c r="AE10" s="54"/>
      <c r="AF10" s="54"/>
    </row>
    <row r="11" spans="1:32" ht="24.6" customHeight="1" x14ac:dyDescent="0.2">
      <c r="A11" s="134" t="b">
        <v>1</v>
      </c>
      <c r="C11" s="264" t="s">
        <v>357</v>
      </c>
      <c r="D11" s="264"/>
      <c r="E11" s="264"/>
      <c r="F11" s="264"/>
      <c r="G11" s="264"/>
      <c r="H11" s="264"/>
      <c r="I11" s="264"/>
      <c r="J11" s="264"/>
      <c r="K11" s="264"/>
      <c r="L11" s="264"/>
      <c r="M11" s="264"/>
      <c r="N11" s="136"/>
      <c r="O11" s="54"/>
      <c r="AA11" s="54"/>
      <c r="AB11" s="54"/>
      <c r="AC11" s="54"/>
      <c r="AD11" s="54"/>
      <c r="AE11" s="54"/>
      <c r="AF11" s="54"/>
    </row>
    <row r="12" spans="1:32" ht="15.95" customHeight="1" x14ac:dyDescent="0.2">
      <c r="A12" s="28" t="s">
        <v>111</v>
      </c>
      <c r="C12" s="186" t="s">
        <v>99</v>
      </c>
      <c r="D12" s="186"/>
      <c r="E12" s="186"/>
      <c r="F12" s="390"/>
      <c r="G12" s="390"/>
      <c r="H12" s="155" t="s">
        <v>105</v>
      </c>
      <c r="I12" s="155"/>
      <c r="J12" s="187"/>
      <c r="K12" s="187"/>
      <c r="L12" s="187"/>
      <c r="M12" s="187"/>
      <c r="N12" s="136" t="str">
        <f>IF(COUNTA(F12:G15,J12:M14,D33)=0,"XXX","")</f>
        <v/>
      </c>
      <c r="O12" s="54"/>
      <c r="AA12" s="54"/>
      <c r="AB12" s="54"/>
      <c r="AC12" s="54"/>
      <c r="AD12" s="54"/>
      <c r="AE12" s="54"/>
      <c r="AF12" s="54"/>
    </row>
    <row r="13" spans="1:32" ht="15" customHeight="1" x14ac:dyDescent="0.2">
      <c r="A13" s="28" t="s">
        <v>242</v>
      </c>
      <c r="C13" s="175" t="s">
        <v>100</v>
      </c>
      <c r="D13" s="175"/>
      <c r="E13" s="175"/>
      <c r="F13" s="391"/>
      <c r="G13" s="391"/>
      <c r="H13" s="194" t="s">
        <v>106</v>
      </c>
      <c r="I13" s="194"/>
      <c r="J13" s="187"/>
      <c r="K13" s="187"/>
      <c r="L13" s="187"/>
      <c r="M13" s="187"/>
      <c r="N13" s="136"/>
      <c r="O13" s="54"/>
      <c r="AA13" s="54"/>
      <c r="AB13" s="54"/>
      <c r="AC13" s="54"/>
      <c r="AD13" s="54"/>
      <c r="AE13" s="54"/>
      <c r="AF13" s="54"/>
    </row>
    <row r="14" spans="1:32" ht="15" customHeight="1" x14ac:dyDescent="0.2">
      <c r="C14" s="175" t="s">
        <v>176</v>
      </c>
      <c r="D14" s="175"/>
      <c r="E14" s="175"/>
      <c r="F14" s="368"/>
      <c r="G14" s="368"/>
      <c r="H14" s="194" t="s">
        <v>102</v>
      </c>
      <c r="I14" s="194"/>
      <c r="J14" s="187"/>
      <c r="K14" s="187"/>
      <c r="L14" s="187"/>
      <c r="M14" s="187"/>
      <c r="N14" s="136"/>
      <c r="O14" s="54"/>
      <c r="AA14" s="54"/>
      <c r="AB14" s="54"/>
      <c r="AC14" s="54"/>
      <c r="AD14" s="54"/>
      <c r="AE14" s="54"/>
      <c r="AF14" s="54"/>
    </row>
    <row r="15" spans="1:32" ht="15" customHeight="1" x14ac:dyDescent="0.2">
      <c r="A15" s="28" t="s">
        <v>247</v>
      </c>
      <c r="C15" s="175" t="s">
        <v>340</v>
      </c>
      <c r="D15" s="175"/>
      <c r="E15" s="175"/>
      <c r="F15" s="165"/>
      <c r="G15" s="165"/>
      <c r="H15" s="357"/>
      <c r="I15" s="357"/>
      <c r="J15" s="357"/>
      <c r="K15" s="357"/>
      <c r="L15" s="357"/>
      <c r="M15" s="357"/>
      <c r="N15" s="136"/>
      <c r="O15" s="54"/>
      <c r="AA15" s="54"/>
      <c r="AB15" s="54"/>
      <c r="AC15" s="54"/>
      <c r="AD15" s="54"/>
      <c r="AE15" s="54"/>
      <c r="AF15" s="54"/>
    </row>
    <row r="16" spans="1:32" ht="15" hidden="1" customHeight="1" x14ac:dyDescent="0.2">
      <c r="A16" s="28" t="s">
        <v>107</v>
      </c>
      <c r="C16" s="175" t="s">
        <v>341</v>
      </c>
      <c r="D16" s="175"/>
      <c r="E16" s="175"/>
      <c r="F16" s="369"/>
      <c r="G16" s="369"/>
      <c r="H16" s="357"/>
      <c r="I16" s="357"/>
      <c r="J16" s="357"/>
      <c r="K16" s="357"/>
      <c r="L16" s="357"/>
      <c r="M16" s="357"/>
      <c r="N16" s="136" t="s">
        <v>342</v>
      </c>
      <c r="O16" s="54"/>
      <c r="AA16" s="54"/>
      <c r="AB16" s="54"/>
      <c r="AC16" s="54"/>
      <c r="AD16" s="54"/>
      <c r="AE16" s="54"/>
      <c r="AF16" s="54"/>
    </row>
    <row r="17" spans="1:32" ht="15" hidden="1" customHeight="1" x14ac:dyDescent="0.2">
      <c r="A17" s="36"/>
      <c r="C17" s="175" t="s">
        <v>104</v>
      </c>
      <c r="D17" s="175"/>
      <c r="E17" s="175"/>
      <c r="F17" s="165" t="s">
        <v>110</v>
      </c>
      <c r="G17" s="165"/>
      <c r="H17" s="370"/>
      <c r="I17" s="370"/>
      <c r="J17" s="370"/>
      <c r="K17" s="370"/>
      <c r="L17" s="370"/>
      <c r="M17" s="370"/>
      <c r="N17" s="136" t="s">
        <v>342</v>
      </c>
      <c r="O17" s="54"/>
      <c r="AA17" s="54"/>
      <c r="AB17" s="54"/>
      <c r="AC17" s="54"/>
      <c r="AD17" s="54"/>
      <c r="AE17" s="54"/>
      <c r="AF17" s="54"/>
    </row>
    <row r="18" spans="1:32" ht="15" hidden="1" customHeight="1" x14ac:dyDescent="0.2">
      <c r="A18" s="36" t="s">
        <v>108</v>
      </c>
      <c r="C18" s="21"/>
      <c r="D18" s="21"/>
      <c r="E18" s="21"/>
      <c r="F18" s="92"/>
      <c r="G18" s="93"/>
      <c r="H18" s="21"/>
      <c r="I18" s="22"/>
      <c r="J18" s="22"/>
      <c r="K18" s="22"/>
      <c r="L18" s="22"/>
      <c r="M18" s="21"/>
      <c r="N18" s="136" t="s">
        <v>342</v>
      </c>
      <c r="O18" s="54"/>
      <c r="AA18" s="54"/>
      <c r="AB18" s="54"/>
      <c r="AC18" s="54"/>
      <c r="AD18" s="54"/>
      <c r="AE18" s="54"/>
      <c r="AF18" s="54"/>
    </row>
    <row r="19" spans="1:32" ht="15" hidden="1" customHeight="1" x14ac:dyDescent="0.2">
      <c r="A19" s="36" t="s">
        <v>244</v>
      </c>
      <c r="C19" s="5"/>
      <c r="D19" s="5"/>
      <c r="E19" s="5"/>
      <c r="F19" s="94"/>
      <c r="G19" s="95"/>
      <c r="H19" s="5"/>
      <c r="I19" s="17"/>
      <c r="J19" s="17"/>
      <c r="K19" s="17"/>
      <c r="L19" s="17"/>
      <c r="M19" s="5"/>
      <c r="N19" s="136" t="s">
        <v>342</v>
      </c>
      <c r="O19" s="54"/>
      <c r="AA19" s="54"/>
      <c r="AB19" s="54"/>
      <c r="AC19" s="54"/>
      <c r="AD19" s="54"/>
      <c r="AE19" s="54"/>
      <c r="AF19" s="54"/>
    </row>
    <row r="20" spans="1:32" ht="15" hidden="1" customHeight="1" x14ac:dyDescent="0.2">
      <c r="A20" s="36" t="s">
        <v>243</v>
      </c>
      <c r="C20" s="41" t="s">
        <v>112</v>
      </c>
      <c r="D20" s="11"/>
      <c r="E20" s="11"/>
      <c r="F20" s="96"/>
      <c r="G20" s="96"/>
      <c r="H20" s="11"/>
      <c r="I20" s="11"/>
      <c r="J20" s="11"/>
      <c r="K20" s="11"/>
      <c r="L20" s="11"/>
      <c r="M20" s="42"/>
      <c r="N20" s="136" t="s">
        <v>342</v>
      </c>
      <c r="O20" s="54"/>
      <c r="AA20" s="54"/>
      <c r="AB20" s="54"/>
      <c r="AC20" s="54"/>
      <c r="AD20" s="54"/>
      <c r="AE20" s="54"/>
      <c r="AF20" s="54"/>
    </row>
    <row r="21" spans="1:32" ht="15" hidden="1" customHeight="1" x14ac:dyDescent="0.2">
      <c r="A21" s="36" t="s">
        <v>245</v>
      </c>
      <c r="C21" s="41" t="s">
        <v>113</v>
      </c>
      <c r="D21" s="42"/>
      <c r="E21" s="126" t="s">
        <v>114</v>
      </c>
      <c r="F21" s="129"/>
      <c r="G21" s="129"/>
      <c r="H21" s="130"/>
      <c r="I21" s="130"/>
      <c r="J21" s="130"/>
      <c r="K21" s="130"/>
      <c r="L21" s="130"/>
      <c r="M21" s="131"/>
      <c r="N21" s="136" t="s">
        <v>342</v>
      </c>
      <c r="O21" s="54"/>
      <c r="AA21" s="54"/>
      <c r="AB21" s="54"/>
      <c r="AC21" s="54"/>
      <c r="AD21" s="54"/>
      <c r="AE21" s="54"/>
      <c r="AF21" s="54"/>
    </row>
    <row r="22" spans="1:32" ht="15" hidden="1" customHeight="1" x14ac:dyDescent="0.2">
      <c r="A22" s="36" t="s">
        <v>246</v>
      </c>
      <c r="C22" s="21"/>
      <c r="D22" s="21"/>
      <c r="E22" s="21"/>
      <c r="F22" s="92"/>
      <c r="G22" s="93"/>
      <c r="H22" s="21"/>
      <c r="I22" s="22"/>
      <c r="J22" s="22"/>
      <c r="K22" s="22"/>
      <c r="L22" s="22"/>
      <c r="M22" s="21"/>
      <c r="N22" s="136" t="s">
        <v>342</v>
      </c>
      <c r="O22" s="54"/>
      <c r="AA22" s="54"/>
      <c r="AB22" s="54"/>
      <c r="AC22" s="54"/>
      <c r="AD22" s="54"/>
      <c r="AE22" s="54"/>
      <c r="AF22" s="54"/>
    </row>
    <row r="23" spans="1:32" ht="15" hidden="1" customHeight="1" x14ac:dyDescent="0.2">
      <c r="A23" s="36" t="s">
        <v>337</v>
      </c>
      <c r="C23" s="5"/>
      <c r="D23" s="5"/>
      <c r="E23" s="5"/>
      <c r="F23" s="94"/>
      <c r="G23" s="95"/>
      <c r="H23" s="5"/>
      <c r="I23" s="17"/>
      <c r="J23" s="17"/>
      <c r="K23" s="17"/>
      <c r="L23" s="17"/>
      <c r="M23" s="5"/>
      <c r="N23" s="136" t="s">
        <v>342</v>
      </c>
      <c r="O23" s="54"/>
      <c r="AA23" s="54"/>
      <c r="AB23" s="54"/>
      <c r="AC23" s="54"/>
      <c r="AD23" s="54"/>
      <c r="AE23" s="54"/>
      <c r="AF23" s="54"/>
    </row>
    <row r="24" spans="1:32" ht="15" hidden="1" customHeight="1" x14ac:dyDescent="0.2">
      <c r="A24" s="36" t="s">
        <v>338</v>
      </c>
      <c r="C24" s="41" t="s">
        <v>115</v>
      </c>
      <c r="D24" s="11"/>
      <c r="E24" s="11"/>
      <c r="F24" s="96"/>
      <c r="G24" s="96"/>
      <c r="H24" s="11"/>
      <c r="I24" s="11"/>
      <c r="J24" s="11"/>
      <c r="K24" s="11"/>
      <c r="L24" s="11"/>
      <c r="M24" s="42"/>
      <c r="N24" s="136" t="s">
        <v>342</v>
      </c>
      <c r="O24" s="54"/>
      <c r="AA24" s="54"/>
      <c r="AB24" s="54"/>
      <c r="AC24" s="54"/>
      <c r="AD24" s="54"/>
      <c r="AE24" s="54"/>
      <c r="AF24" s="54"/>
    </row>
    <row r="25" spans="1:32" ht="15" hidden="1" customHeight="1" x14ac:dyDescent="0.2">
      <c r="A25" s="36"/>
      <c r="C25" s="23" t="s">
        <v>116</v>
      </c>
      <c r="D25" s="41" t="s">
        <v>117</v>
      </c>
      <c r="E25" s="42"/>
      <c r="F25" s="97" t="s">
        <v>118</v>
      </c>
      <c r="G25" s="98" t="s">
        <v>122</v>
      </c>
      <c r="H25" s="11"/>
      <c r="I25" s="11"/>
      <c r="J25" s="11"/>
      <c r="K25" s="11"/>
      <c r="L25" s="11"/>
      <c r="M25" s="42"/>
      <c r="N25" s="136" t="s">
        <v>342</v>
      </c>
      <c r="O25" s="54"/>
      <c r="AA25" s="54"/>
      <c r="AB25" s="54"/>
      <c r="AC25" s="54"/>
      <c r="AD25" s="54"/>
      <c r="AE25" s="54"/>
      <c r="AF25" s="54"/>
    </row>
    <row r="26" spans="1:32" ht="15" hidden="1" customHeight="1" x14ac:dyDescent="0.2">
      <c r="A26" s="36"/>
      <c r="C26" s="23" t="s">
        <v>119</v>
      </c>
      <c r="D26" s="126" t="s">
        <v>121</v>
      </c>
      <c r="E26" s="123"/>
      <c r="F26" s="108">
        <v>1</v>
      </c>
      <c r="G26" s="127"/>
      <c r="H26" s="128"/>
      <c r="I26" s="128"/>
      <c r="J26" s="128"/>
      <c r="K26" s="128"/>
      <c r="L26" s="128"/>
      <c r="M26" s="123"/>
      <c r="N26" s="136" t="s">
        <v>342</v>
      </c>
      <c r="O26" s="54"/>
      <c r="AA26" s="54"/>
      <c r="AB26" s="54"/>
      <c r="AC26" s="54"/>
      <c r="AD26" s="54"/>
      <c r="AE26" s="54"/>
      <c r="AF26" s="54"/>
    </row>
    <row r="27" spans="1:32" ht="15" hidden="1" customHeight="1" x14ac:dyDescent="0.2">
      <c r="A27" s="36"/>
      <c r="C27" s="23" t="s">
        <v>120</v>
      </c>
      <c r="D27" s="126" t="s">
        <v>121</v>
      </c>
      <c r="E27" s="123"/>
      <c r="F27" s="108">
        <v>1</v>
      </c>
      <c r="G27" s="127"/>
      <c r="H27" s="128"/>
      <c r="I27" s="128"/>
      <c r="J27" s="128"/>
      <c r="K27" s="128"/>
      <c r="L27" s="128"/>
      <c r="M27" s="123"/>
      <c r="N27" s="136" t="s">
        <v>342</v>
      </c>
      <c r="O27" s="54"/>
      <c r="AA27" s="54"/>
      <c r="AB27" s="54"/>
      <c r="AC27" s="54"/>
      <c r="AD27" s="54"/>
      <c r="AE27" s="54"/>
      <c r="AF27" s="54"/>
    </row>
    <row r="28" spans="1:32" ht="15" customHeight="1" x14ac:dyDescent="0.2">
      <c r="C28" s="175" t="s">
        <v>123</v>
      </c>
      <c r="D28" s="175"/>
      <c r="E28" s="175"/>
      <c r="F28" s="368"/>
      <c r="G28" s="368"/>
      <c r="H28" s="357"/>
      <c r="I28" s="357"/>
      <c r="J28" s="357"/>
      <c r="K28" s="357"/>
      <c r="L28" s="357"/>
      <c r="M28" s="357"/>
      <c r="N28" s="136"/>
      <c r="O28" s="54"/>
      <c r="AA28" s="54"/>
      <c r="AB28" s="54"/>
      <c r="AC28" s="54"/>
      <c r="AD28" s="54"/>
      <c r="AE28" s="54"/>
      <c r="AF28" s="54"/>
    </row>
    <row r="29" spans="1:32" ht="15" customHeight="1" x14ac:dyDescent="0.2">
      <c r="C29" s="175" t="s">
        <v>124</v>
      </c>
      <c r="D29" s="175"/>
      <c r="E29" s="175"/>
      <c r="F29" s="368"/>
      <c r="G29" s="368"/>
      <c r="H29" s="357"/>
      <c r="I29" s="357"/>
      <c r="J29" s="357"/>
      <c r="K29" s="357"/>
      <c r="L29" s="357"/>
      <c r="M29" s="357"/>
      <c r="N29" s="136"/>
      <c r="O29" s="54"/>
      <c r="AA29" s="54"/>
      <c r="AB29" s="54"/>
      <c r="AC29" s="54"/>
      <c r="AD29" s="54"/>
      <c r="AE29" s="54"/>
      <c r="AF29" s="54"/>
    </row>
    <row r="30" spans="1:32" ht="15" hidden="1" customHeight="1" x14ac:dyDescent="0.2">
      <c r="C30" s="175" t="s">
        <v>103</v>
      </c>
      <c r="D30" s="175"/>
      <c r="E30" s="175"/>
      <c r="F30" s="358" t="s">
        <v>109</v>
      </c>
      <c r="G30" s="358"/>
      <c r="H30" s="357"/>
      <c r="I30" s="357"/>
      <c r="J30" s="357"/>
      <c r="K30" s="357"/>
      <c r="L30" s="357"/>
      <c r="M30" s="357"/>
      <c r="N30" s="136" t="s">
        <v>342</v>
      </c>
      <c r="O30" s="54"/>
      <c r="AA30" s="54"/>
      <c r="AB30" s="54"/>
      <c r="AC30" s="54"/>
      <c r="AD30" s="54"/>
      <c r="AE30" s="54"/>
      <c r="AF30" s="54"/>
    </row>
    <row r="31" spans="1:32" ht="15" hidden="1" customHeight="1" x14ac:dyDescent="0.2">
      <c r="A31" s="37"/>
      <c r="C31" s="175"/>
      <c r="D31" s="175"/>
      <c r="E31" s="175"/>
      <c r="F31" s="358"/>
      <c r="G31" s="358"/>
      <c r="H31" s="35"/>
      <c r="I31" s="35"/>
      <c r="J31" s="35"/>
      <c r="K31" s="35"/>
      <c r="L31" s="35"/>
      <c r="M31" s="35"/>
      <c r="N31" s="136" t="s">
        <v>342</v>
      </c>
      <c r="O31" s="54"/>
      <c r="AA31" s="54"/>
      <c r="AB31" s="54"/>
      <c r="AC31" s="54"/>
      <c r="AD31" s="54"/>
      <c r="AE31" s="54"/>
      <c r="AF31" s="54"/>
    </row>
    <row r="32" spans="1:32" ht="15" customHeight="1" x14ac:dyDescent="0.2">
      <c r="C32" s="331"/>
      <c r="D32" s="331"/>
      <c r="E32" s="331"/>
      <c r="F32" s="331"/>
      <c r="G32" s="331"/>
      <c r="H32" s="331"/>
      <c r="I32" s="331"/>
      <c r="J32" s="331"/>
      <c r="K32" s="331"/>
      <c r="L32" s="331"/>
      <c r="M32" s="331"/>
      <c r="N32" s="136"/>
      <c r="O32" s="54"/>
      <c r="AA32" s="54"/>
      <c r="AB32" s="54"/>
      <c r="AC32" s="54"/>
      <c r="AD32" s="54"/>
      <c r="AE32" s="54"/>
      <c r="AF32" s="54"/>
    </row>
    <row r="33" spans="1:32" ht="15" customHeight="1" x14ac:dyDescent="0.2">
      <c r="C33" s="20" t="s">
        <v>125</v>
      </c>
      <c r="D33" s="359" t="s">
        <v>460</v>
      </c>
      <c r="E33" s="360"/>
      <c r="F33" s="360"/>
      <c r="G33" s="360"/>
      <c r="H33" s="360"/>
      <c r="I33" s="360"/>
      <c r="J33" s="360"/>
      <c r="K33" s="360"/>
      <c r="L33" s="360"/>
      <c r="M33" s="361"/>
      <c r="N33" s="136"/>
      <c r="O33" s="54"/>
      <c r="AA33" s="54"/>
      <c r="AB33" s="54"/>
      <c r="AC33" s="54"/>
      <c r="AD33" s="54"/>
      <c r="AE33" s="54"/>
      <c r="AF33" s="54"/>
    </row>
    <row r="34" spans="1:32" ht="15" customHeight="1" x14ac:dyDescent="0.2">
      <c r="C34" s="341"/>
      <c r="D34" s="362"/>
      <c r="E34" s="363"/>
      <c r="F34" s="363"/>
      <c r="G34" s="363"/>
      <c r="H34" s="363"/>
      <c r="I34" s="363"/>
      <c r="J34" s="363"/>
      <c r="K34" s="363"/>
      <c r="L34" s="363"/>
      <c r="M34" s="364"/>
      <c r="N34" s="136"/>
      <c r="O34" s="54"/>
      <c r="AA34" s="54"/>
      <c r="AB34" s="54"/>
      <c r="AC34" s="54"/>
      <c r="AD34" s="54"/>
      <c r="AE34" s="54"/>
      <c r="AF34" s="54"/>
    </row>
    <row r="35" spans="1:32" ht="15" customHeight="1" x14ac:dyDescent="0.2">
      <c r="C35" s="341"/>
      <c r="D35" s="362"/>
      <c r="E35" s="363"/>
      <c r="F35" s="363"/>
      <c r="G35" s="363"/>
      <c r="H35" s="363"/>
      <c r="I35" s="363"/>
      <c r="J35" s="363"/>
      <c r="K35" s="363"/>
      <c r="L35" s="363"/>
      <c r="M35" s="364"/>
      <c r="N35" s="136"/>
      <c r="O35" s="54"/>
      <c r="AA35" s="54"/>
      <c r="AB35" s="54"/>
      <c r="AC35" s="54"/>
      <c r="AD35" s="54"/>
      <c r="AE35" s="54"/>
      <c r="AF35" s="54"/>
    </row>
    <row r="36" spans="1:32" ht="15" customHeight="1" x14ac:dyDescent="0.2">
      <c r="C36" s="341"/>
      <c r="D36" s="362"/>
      <c r="E36" s="363"/>
      <c r="F36" s="363"/>
      <c r="G36" s="363"/>
      <c r="H36" s="363"/>
      <c r="I36" s="363"/>
      <c r="J36" s="363"/>
      <c r="K36" s="363"/>
      <c r="L36" s="363"/>
      <c r="M36" s="364"/>
      <c r="N36" s="136"/>
      <c r="O36" s="54"/>
      <c r="AA36" s="54"/>
      <c r="AB36" s="54"/>
      <c r="AC36" s="54"/>
      <c r="AD36" s="54"/>
      <c r="AE36" s="54"/>
      <c r="AF36" s="54"/>
    </row>
    <row r="37" spans="1:32" ht="15" customHeight="1" x14ac:dyDescent="0.2">
      <c r="C37" s="341"/>
      <c r="D37" s="365"/>
      <c r="E37" s="366"/>
      <c r="F37" s="366"/>
      <c r="G37" s="366"/>
      <c r="H37" s="366"/>
      <c r="I37" s="366"/>
      <c r="J37" s="366"/>
      <c r="K37" s="366"/>
      <c r="L37" s="366"/>
      <c r="M37" s="367"/>
      <c r="N37" s="136"/>
      <c r="O37" s="54"/>
      <c r="AA37" s="54"/>
      <c r="AB37" s="54"/>
      <c r="AC37" s="54"/>
      <c r="AD37" s="54"/>
      <c r="AE37" s="54"/>
      <c r="AF37" s="54"/>
    </row>
    <row r="38" spans="1:32" ht="15" customHeight="1" thickBot="1" x14ac:dyDescent="0.25">
      <c r="C38" s="296"/>
      <c r="D38" s="296"/>
      <c r="E38" s="296"/>
      <c r="F38" s="296"/>
      <c r="G38" s="296"/>
      <c r="H38" s="296"/>
      <c r="I38" s="296"/>
      <c r="J38" s="296"/>
      <c r="K38" s="296"/>
      <c r="L38" s="296"/>
      <c r="M38" s="296"/>
      <c r="N38" s="136"/>
      <c r="O38" s="54"/>
      <c r="AA38" s="54"/>
      <c r="AB38" s="54"/>
      <c r="AC38" s="54"/>
      <c r="AD38" s="54"/>
      <c r="AE38" s="54"/>
      <c r="AF38" s="54"/>
    </row>
    <row r="39" spans="1:32" ht="15" hidden="1" customHeight="1" thickBot="1" x14ac:dyDescent="0.25">
      <c r="C39" s="243"/>
      <c r="D39" s="243"/>
      <c r="E39" s="243"/>
      <c r="F39" s="243"/>
      <c r="G39" s="243"/>
      <c r="H39" s="243"/>
      <c r="I39" s="243"/>
      <c r="J39" s="243"/>
      <c r="K39" s="243"/>
      <c r="L39" s="243"/>
      <c r="M39" s="243"/>
      <c r="N39" s="136" t="s">
        <v>342</v>
      </c>
      <c r="O39" s="54"/>
      <c r="AA39" s="54"/>
      <c r="AB39" s="54"/>
      <c r="AC39" s="54"/>
      <c r="AD39" s="54"/>
      <c r="AE39" s="54"/>
      <c r="AF39" s="54"/>
    </row>
    <row r="40" spans="1:32" ht="15" customHeight="1" thickBot="1" x14ac:dyDescent="0.25">
      <c r="A40" s="134" t="b">
        <v>0</v>
      </c>
      <c r="C40" s="355" t="s">
        <v>126</v>
      </c>
      <c r="D40" s="355"/>
      <c r="E40" s="356"/>
      <c r="F40" s="356"/>
      <c r="G40" s="356"/>
      <c r="H40" s="356"/>
      <c r="I40" s="356"/>
      <c r="J40" s="356"/>
      <c r="K40" s="356"/>
      <c r="L40" s="356"/>
      <c r="M40" s="356"/>
      <c r="N40" s="136"/>
      <c r="O40" s="54"/>
      <c r="AA40" s="54"/>
      <c r="AB40" s="54"/>
      <c r="AC40" s="54"/>
      <c r="AD40" s="54"/>
      <c r="AE40" s="54"/>
      <c r="AF40" s="54"/>
    </row>
    <row r="41" spans="1:32" ht="15" hidden="1" customHeight="1" x14ac:dyDescent="0.2">
      <c r="C41" s="175" t="s">
        <v>347</v>
      </c>
      <c r="D41" s="175"/>
      <c r="E41" s="175"/>
      <c r="F41" s="167"/>
      <c r="G41" s="167"/>
      <c r="H41" s="348"/>
      <c r="I41" s="348"/>
      <c r="J41" s="348"/>
      <c r="K41" s="348"/>
      <c r="L41" s="348"/>
      <c r="M41" s="348"/>
      <c r="N41" s="136" t="str">
        <f>IF(COUNTA(F41:G48)=0,"XXX","")</f>
        <v>XXX</v>
      </c>
      <c r="O41" s="54"/>
      <c r="AA41" s="54"/>
      <c r="AB41" s="54"/>
      <c r="AC41" s="54"/>
      <c r="AD41" s="54"/>
      <c r="AE41" s="54"/>
      <c r="AF41" s="54"/>
    </row>
    <row r="42" spans="1:32" ht="15" hidden="1" customHeight="1" x14ac:dyDescent="0.2">
      <c r="C42" s="175" t="s">
        <v>348</v>
      </c>
      <c r="D42" s="175"/>
      <c r="E42" s="175"/>
      <c r="F42" s="167"/>
      <c r="G42" s="167"/>
      <c r="H42" s="348"/>
      <c r="I42" s="348"/>
      <c r="J42" s="348"/>
      <c r="K42" s="348"/>
      <c r="L42" s="348"/>
      <c r="M42" s="348"/>
      <c r="N42" s="136"/>
      <c r="O42" s="54"/>
      <c r="AA42" s="54"/>
      <c r="AB42" s="54"/>
      <c r="AC42" s="54"/>
      <c r="AD42" s="54"/>
      <c r="AE42" s="54"/>
      <c r="AF42" s="54"/>
    </row>
    <row r="43" spans="1:32" ht="15" hidden="1" customHeight="1" x14ac:dyDescent="0.2">
      <c r="C43" s="175" t="s">
        <v>349</v>
      </c>
      <c r="D43" s="175"/>
      <c r="E43" s="175"/>
      <c r="F43" s="167"/>
      <c r="G43" s="167"/>
      <c r="H43" s="348"/>
      <c r="I43" s="348"/>
      <c r="J43" s="348"/>
      <c r="K43" s="348"/>
      <c r="L43" s="348"/>
      <c r="M43" s="348"/>
      <c r="N43" s="136"/>
      <c r="O43" s="54"/>
      <c r="AA43" s="54"/>
      <c r="AB43" s="54"/>
      <c r="AC43" s="54"/>
      <c r="AD43" s="54"/>
      <c r="AE43" s="54"/>
      <c r="AF43" s="54"/>
    </row>
    <row r="44" spans="1:32" ht="15" hidden="1" customHeight="1" x14ac:dyDescent="0.2">
      <c r="C44" s="175" t="s">
        <v>350</v>
      </c>
      <c r="D44" s="175"/>
      <c r="E44" s="175"/>
      <c r="F44" s="167"/>
      <c r="G44" s="167"/>
      <c r="H44" s="348"/>
      <c r="I44" s="348"/>
      <c r="J44" s="348"/>
      <c r="K44" s="348"/>
      <c r="L44" s="348"/>
      <c r="M44" s="348"/>
      <c r="N44" s="136"/>
      <c r="O44" s="54"/>
      <c r="AA44" s="54"/>
      <c r="AB44" s="54"/>
      <c r="AC44" s="54"/>
      <c r="AD44" s="54"/>
      <c r="AE44" s="54"/>
      <c r="AF44" s="54"/>
    </row>
    <row r="45" spans="1:32" ht="15" hidden="1" customHeight="1" x14ac:dyDescent="0.2">
      <c r="C45" s="175" t="s">
        <v>130</v>
      </c>
      <c r="D45" s="175"/>
      <c r="E45" s="175"/>
      <c r="F45" s="167"/>
      <c r="G45" s="167"/>
      <c r="H45" s="357"/>
      <c r="I45" s="357"/>
      <c r="J45" s="357"/>
      <c r="K45" s="357"/>
      <c r="L45" s="357"/>
      <c r="M45" s="357"/>
      <c r="N45" s="136"/>
      <c r="O45" s="54"/>
      <c r="AA45" s="54"/>
      <c r="AB45" s="54"/>
      <c r="AC45" s="54"/>
      <c r="AD45" s="54"/>
      <c r="AE45" s="54"/>
      <c r="AF45" s="54"/>
    </row>
    <row r="46" spans="1:32" ht="15" hidden="1" customHeight="1" x14ac:dyDescent="0.2">
      <c r="A46" s="28" t="s">
        <v>131</v>
      </c>
      <c r="C46" s="175" t="s">
        <v>127</v>
      </c>
      <c r="D46" s="175"/>
      <c r="E46" s="175"/>
      <c r="F46" s="167"/>
      <c r="G46" s="167"/>
      <c r="H46" s="348"/>
      <c r="I46" s="348"/>
      <c r="J46" s="348"/>
      <c r="K46" s="348"/>
      <c r="L46" s="348"/>
      <c r="M46" s="348"/>
      <c r="N46" s="136"/>
      <c r="O46" s="54"/>
      <c r="AA46" s="54"/>
      <c r="AB46" s="54"/>
      <c r="AC46" s="54"/>
      <c r="AD46" s="54"/>
      <c r="AE46" s="54"/>
      <c r="AF46" s="54"/>
    </row>
    <row r="47" spans="1:32" ht="15" hidden="1" customHeight="1" x14ac:dyDescent="0.2">
      <c r="A47" s="28" t="s">
        <v>132</v>
      </c>
      <c r="C47" s="175" t="s">
        <v>128</v>
      </c>
      <c r="D47" s="175"/>
      <c r="E47" s="175"/>
      <c r="F47" s="167"/>
      <c r="G47" s="167"/>
      <c r="H47" s="348"/>
      <c r="I47" s="348"/>
      <c r="J47" s="348"/>
      <c r="K47" s="348"/>
      <c r="L47" s="348"/>
      <c r="M47" s="348"/>
      <c r="N47" s="136"/>
      <c r="O47" s="54"/>
      <c r="AA47" s="54"/>
      <c r="AB47" s="54"/>
      <c r="AC47" s="54"/>
      <c r="AD47" s="54"/>
      <c r="AE47" s="54"/>
      <c r="AF47" s="54"/>
    </row>
    <row r="48" spans="1:32" ht="15" hidden="1" customHeight="1" thickBot="1" x14ac:dyDescent="0.25">
      <c r="A48" s="28" t="s">
        <v>133</v>
      </c>
      <c r="C48" s="182" t="s">
        <v>129</v>
      </c>
      <c r="D48" s="182"/>
      <c r="E48" s="182"/>
      <c r="F48" s="273"/>
      <c r="G48" s="273"/>
      <c r="H48" s="354"/>
      <c r="I48" s="354"/>
      <c r="J48" s="354"/>
      <c r="K48" s="354"/>
      <c r="L48" s="354"/>
      <c r="M48" s="354"/>
      <c r="N48" s="136"/>
      <c r="O48" s="54"/>
      <c r="AA48" s="54"/>
      <c r="AB48" s="54"/>
      <c r="AC48" s="54"/>
      <c r="AD48" s="54"/>
      <c r="AE48" s="54"/>
      <c r="AF48" s="54"/>
    </row>
    <row r="49" spans="1:32" ht="15" hidden="1" customHeight="1" thickBot="1" x14ac:dyDescent="0.25">
      <c r="C49" s="243"/>
      <c r="D49" s="243"/>
      <c r="E49" s="243"/>
      <c r="F49" s="243"/>
      <c r="G49" s="243"/>
      <c r="H49" s="243"/>
      <c r="I49" s="243"/>
      <c r="J49" s="243"/>
      <c r="K49" s="243"/>
      <c r="L49" s="243"/>
      <c r="M49" s="243"/>
      <c r="N49" s="136" t="s">
        <v>342</v>
      </c>
      <c r="O49" s="54"/>
      <c r="AA49" s="54"/>
      <c r="AB49" s="54"/>
      <c r="AC49" s="54"/>
      <c r="AD49" s="54"/>
      <c r="AE49" s="54"/>
      <c r="AF49" s="54"/>
    </row>
    <row r="50" spans="1:32" ht="15" customHeight="1" thickBot="1" x14ac:dyDescent="0.25">
      <c r="A50" s="134" t="b">
        <v>0</v>
      </c>
      <c r="C50" s="355" t="s">
        <v>134</v>
      </c>
      <c r="D50" s="355"/>
      <c r="E50" s="355"/>
      <c r="F50" s="356"/>
      <c r="G50" s="356"/>
      <c r="H50" s="356"/>
      <c r="I50" s="356"/>
      <c r="J50" s="356"/>
      <c r="K50" s="356"/>
      <c r="L50" s="356"/>
      <c r="M50" s="356"/>
      <c r="N50" s="136"/>
      <c r="O50" s="54"/>
      <c r="AA50" s="54"/>
      <c r="AB50" s="54"/>
      <c r="AC50" s="54"/>
      <c r="AD50" s="54"/>
      <c r="AE50" s="54"/>
      <c r="AF50" s="54"/>
    </row>
    <row r="51" spans="1:32" ht="15" hidden="1" customHeight="1" thickBot="1" x14ac:dyDescent="0.25">
      <c r="A51" s="28" t="s">
        <v>433</v>
      </c>
      <c r="C51" s="182" t="s">
        <v>135</v>
      </c>
      <c r="D51" s="182"/>
      <c r="E51" s="182"/>
      <c r="F51" s="182"/>
      <c r="G51" s="182"/>
      <c r="H51" s="273"/>
      <c r="I51" s="273"/>
      <c r="J51" s="354"/>
      <c r="K51" s="354"/>
      <c r="L51" s="354"/>
      <c r="M51" s="354"/>
      <c r="N51" s="136" t="str">
        <f>IF(COUNTA(H51)=0,"XXX","")</f>
        <v>XXX</v>
      </c>
      <c r="O51" s="54"/>
      <c r="AA51" s="54"/>
      <c r="AB51" s="54"/>
      <c r="AC51" s="54"/>
      <c r="AD51" s="54"/>
      <c r="AE51" s="54"/>
      <c r="AF51" s="54"/>
    </row>
    <row r="52" spans="1:32" ht="15" hidden="1" customHeight="1" thickBot="1" x14ac:dyDescent="0.25">
      <c r="A52" s="28" t="s">
        <v>434</v>
      </c>
      <c r="C52" s="243"/>
      <c r="D52" s="243"/>
      <c r="E52" s="243"/>
      <c r="F52" s="243"/>
      <c r="G52" s="243"/>
      <c r="H52" s="243"/>
      <c r="I52" s="243"/>
      <c r="J52" s="243"/>
      <c r="K52" s="243"/>
      <c r="L52" s="243"/>
      <c r="M52" s="243"/>
      <c r="N52" s="136" t="s">
        <v>342</v>
      </c>
      <c r="O52" s="54"/>
      <c r="AA52" s="54"/>
      <c r="AB52" s="54"/>
      <c r="AC52" s="54"/>
      <c r="AD52" s="54"/>
      <c r="AE52" s="54"/>
      <c r="AF52" s="54"/>
    </row>
    <row r="53" spans="1:32" ht="15" customHeight="1" x14ac:dyDescent="0.2">
      <c r="A53" s="134" t="b">
        <v>0</v>
      </c>
      <c r="C53" s="304" t="s">
        <v>136</v>
      </c>
      <c r="D53" s="304"/>
      <c r="E53" s="304"/>
      <c r="F53" s="243"/>
      <c r="G53" s="243"/>
      <c r="H53" s="243"/>
      <c r="I53" s="243"/>
      <c r="J53" s="243"/>
      <c r="K53" s="243"/>
      <c r="L53" s="243"/>
      <c r="M53" s="243"/>
      <c r="N53" s="136"/>
      <c r="O53" s="54"/>
      <c r="AA53" s="54"/>
      <c r="AB53" s="54"/>
      <c r="AC53" s="54"/>
      <c r="AD53" s="54"/>
      <c r="AE53" s="54"/>
      <c r="AF53" s="54"/>
    </row>
    <row r="54" spans="1:32" ht="15" hidden="1" customHeight="1" x14ac:dyDescent="0.2">
      <c r="A54" s="28" t="s">
        <v>142</v>
      </c>
      <c r="C54" s="186" t="s">
        <v>137</v>
      </c>
      <c r="D54" s="186"/>
      <c r="E54" s="186"/>
      <c r="F54" s="187"/>
      <c r="G54" s="187"/>
      <c r="H54" s="351" t="str">
        <f>IF(F54="Partially Open","Open Up To (m)","")</f>
        <v/>
      </c>
      <c r="I54" s="351"/>
      <c r="J54" s="352"/>
      <c r="K54" s="352"/>
      <c r="L54" s="352"/>
      <c r="M54" s="352"/>
      <c r="N54" s="136" t="str">
        <f>IF(COUNTA(F54:G55,D56,F59:G60,J54,J59,D61,F64,J64,F65,D66,F69,F70,D71,J69)=0,"XXX","")</f>
        <v>XXX</v>
      </c>
      <c r="O54" s="54"/>
      <c r="AA54" s="54"/>
      <c r="AB54" s="54"/>
      <c r="AC54" s="54"/>
      <c r="AD54" s="54"/>
      <c r="AE54" s="54"/>
      <c r="AF54" s="54"/>
    </row>
    <row r="55" spans="1:32" ht="15" hidden="1" customHeight="1" x14ac:dyDescent="0.2">
      <c r="A55" s="28" t="s">
        <v>178</v>
      </c>
      <c r="C55" s="175" t="s">
        <v>138</v>
      </c>
      <c r="D55" s="175"/>
      <c r="E55" s="175"/>
      <c r="F55" s="165"/>
      <c r="G55" s="165"/>
      <c r="H55" s="348"/>
      <c r="I55" s="348"/>
      <c r="J55" s="348"/>
      <c r="K55" s="348"/>
      <c r="L55" s="348"/>
      <c r="M55" s="348"/>
      <c r="N55" s="136"/>
      <c r="O55" s="54"/>
      <c r="AA55" s="54"/>
      <c r="AB55" s="54"/>
      <c r="AC55" s="54"/>
      <c r="AD55" s="54"/>
      <c r="AE55" s="54"/>
      <c r="AF55" s="54"/>
    </row>
    <row r="56" spans="1:32" ht="15" hidden="1" customHeight="1" thickBot="1" x14ac:dyDescent="0.25">
      <c r="A56" s="28" t="s">
        <v>179</v>
      </c>
      <c r="C56" s="8" t="s">
        <v>45</v>
      </c>
      <c r="D56" s="206"/>
      <c r="E56" s="206"/>
      <c r="F56" s="206"/>
      <c r="G56" s="206"/>
      <c r="H56" s="206"/>
      <c r="I56" s="206"/>
      <c r="J56" s="206"/>
      <c r="K56" s="206"/>
      <c r="L56" s="206"/>
      <c r="M56" s="206"/>
      <c r="N56" s="136"/>
      <c r="O56" s="54"/>
      <c r="AA56" s="54"/>
      <c r="AB56" s="54"/>
      <c r="AC56" s="54"/>
      <c r="AD56" s="54"/>
      <c r="AE56" s="54"/>
      <c r="AF56" s="54"/>
    </row>
    <row r="57" spans="1:32" ht="15" hidden="1" customHeight="1" x14ac:dyDescent="0.2">
      <c r="C57" s="243"/>
      <c r="D57" s="243"/>
      <c r="E57" s="243"/>
      <c r="F57" s="243"/>
      <c r="G57" s="243"/>
      <c r="H57" s="243"/>
      <c r="I57" s="243"/>
      <c r="J57" s="243"/>
      <c r="K57" s="243"/>
      <c r="L57" s="243"/>
      <c r="M57" s="243"/>
      <c r="N57" s="136" t="s">
        <v>342</v>
      </c>
      <c r="O57" s="54"/>
      <c r="AA57" s="54"/>
      <c r="AB57" s="54"/>
      <c r="AC57" s="54"/>
      <c r="AD57" s="54"/>
      <c r="AE57" s="54"/>
      <c r="AF57" s="54"/>
    </row>
    <row r="58" spans="1:32" ht="15" customHeight="1" x14ac:dyDescent="0.2">
      <c r="C58" s="264" t="s">
        <v>139</v>
      </c>
      <c r="D58" s="264"/>
      <c r="E58" s="264"/>
      <c r="F58" s="350"/>
      <c r="G58" s="350"/>
      <c r="H58" s="350"/>
      <c r="I58" s="350"/>
      <c r="J58" s="350"/>
      <c r="K58" s="350"/>
      <c r="L58" s="350"/>
      <c r="M58" s="350"/>
      <c r="N58" s="136"/>
      <c r="O58" s="54"/>
      <c r="AA58" s="54"/>
      <c r="AB58" s="54"/>
      <c r="AC58" s="54"/>
      <c r="AD58" s="54"/>
      <c r="AE58" s="54"/>
      <c r="AF58" s="54"/>
    </row>
    <row r="59" spans="1:32" ht="15" hidden="1" customHeight="1" x14ac:dyDescent="0.2">
      <c r="A59" s="28" t="s">
        <v>143</v>
      </c>
      <c r="C59" s="186" t="s">
        <v>137</v>
      </c>
      <c r="D59" s="186"/>
      <c r="E59" s="186"/>
      <c r="F59" s="187"/>
      <c r="G59" s="187"/>
      <c r="H59" s="351" t="str">
        <f>IF(F59="Partially Open","Open Up To (m)","")</f>
        <v/>
      </c>
      <c r="I59" s="351"/>
      <c r="J59" s="353"/>
      <c r="K59" s="353"/>
      <c r="L59" s="353"/>
      <c r="M59" s="353"/>
      <c r="N59" s="136"/>
      <c r="O59" s="54"/>
      <c r="AA59" s="54"/>
      <c r="AB59" s="54"/>
      <c r="AC59" s="54"/>
      <c r="AD59" s="54"/>
      <c r="AE59" s="54"/>
      <c r="AF59" s="54"/>
    </row>
    <row r="60" spans="1:32" ht="15" hidden="1" customHeight="1" x14ac:dyDescent="0.2">
      <c r="A60" s="28" t="s">
        <v>180</v>
      </c>
      <c r="C60" s="175" t="s">
        <v>138</v>
      </c>
      <c r="D60" s="175"/>
      <c r="E60" s="175"/>
      <c r="F60" s="165"/>
      <c r="G60" s="165"/>
      <c r="H60" s="348"/>
      <c r="I60" s="348"/>
      <c r="J60" s="348"/>
      <c r="K60" s="348"/>
      <c r="L60" s="348"/>
      <c r="M60" s="348"/>
      <c r="N60" s="136"/>
      <c r="O60" s="54"/>
      <c r="AA60" s="54"/>
      <c r="AB60" s="54"/>
      <c r="AC60" s="54"/>
      <c r="AD60" s="54"/>
      <c r="AE60" s="54"/>
      <c r="AF60" s="54"/>
    </row>
    <row r="61" spans="1:32" ht="15" hidden="1" customHeight="1" thickBot="1" x14ac:dyDescent="0.25">
      <c r="C61" s="8" t="s">
        <v>45</v>
      </c>
      <c r="D61" s="276"/>
      <c r="E61" s="276"/>
      <c r="F61" s="276"/>
      <c r="G61" s="276"/>
      <c r="H61" s="276"/>
      <c r="I61" s="276"/>
      <c r="J61" s="276"/>
      <c r="K61" s="276"/>
      <c r="L61" s="276"/>
      <c r="M61" s="276"/>
      <c r="N61" s="136"/>
      <c r="O61" s="54"/>
      <c r="AA61" s="54"/>
      <c r="AB61" s="54"/>
      <c r="AC61" s="54"/>
      <c r="AD61" s="54"/>
      <c r="AE61" s="54"/>
      <c r="AF61" s="54"/>
    </row>
    <row r="62" spans="1:32" ht="15" hidden="1" customHeight="1" x14ac:dyDescent="0.2">
      <c r="C62" s="243"/>
      <c r="D62" s="243"/>
      <c r="E62" s="243"/>
      <c r="F62" s="243"/>
      <c r="G62" s="243"/>
      <c r="H62" s="243"/>
      <c r="I62" s="243"/>
      <c r="J62" s="243"/>
      <c r="K62" s="243"/>
      <c r="L62" s="243"/>
      <c r="M62" s="243"/>
      <c r="N62" s="136" t="s">
        <v>342</v>
      </c>
      <c r="O62" s="54"/>
      <c r="AA62" s="54"/>
      <c r="AB62" s="54"/>
      <c r="AC62" s="54"/>
      <c r="AD62" s="54"/>
      <c r="AE62" s="54"/>
      <c r="AF62" s="54"/>
    </row>
    <row r="63" spans="1:32" ht="15" customHeight="1" x14ac:dyDescent="0.2">
      <c r="A63" s="28" t="s">
        <v>435</v>
      </c>
      <c r="C63" s="264" t="s">
        <v>140</v>
      </c>
      <c r="D63" s="264"/>
      <c r="E63" s="264"/>
      <c r="F63" s="350"/>
      <c r="G63" s="350"/>
      <c r="H63" s="350"/>
      <c r="I63" s="350"/>
      <c r="J63" s="350"/>
      <c r="K63" s="350"/>
      <c r="L63" s="350"/>
      <c r="M63" s="350"/>
      <c r="N63" s="136"/>
      <c r="O63" s="54"/>
      <c r="AA63" s="54"/>
      <c r="AB63" s="54"/>
      <c r="AC63" s="54"/>
      <c r="AD63" s="54"/>
      <c r="AE63" s="54"/>
      <c r="AF63" s="54"/>
    </row>
    <row r="64" spans="1:32" ht="15" hidden="1" customHeight="1" x14ac:dyDescent="0.2">
      <c r="A64" s="28" t="s">
        <v>436</v>
      </c>
      <c r="C64" s="186" t="s">
        <v>137</v>
      </c>
      <c r="D64" s="186"/>
      <c r="E64" s="186"/>
      <c r="F64" s="187"/>
      <c r="G64" s="187"/>
      <c r="H64" s="351" t="str">
        <f>IF(F64="Partially Open","Open Up To (m)","")</f>
        <v/>
      </c>
      <c r="I64" s="351"/>
      <c r="J64" s="352"/>
      <c r="K64" s="352"/>
      <c r="L64" s="352"/>
      <c r="M64" s="352"/>
      <c r="N64" s="136"/>
      <c r="O64" s="54"/>
      <c r="AA64" s="54"/>
      <c r="AB64" s="54"/>
      <c r="AC64" s="54"/>
      <c r="AD64" s="54"/>
      <c r="AE64" s="54"/>
      <c r="AF64" s="54"/>
    </row>
    <row r="65" spans="1:36" ht="15" hidden="1" customHeight="1" x14ac:dyDescent="0.2">
      <c r="A65" s="29" t="s">
        <v>282</v>
      </c>
      <c r="C65" s="175" t="s">
        <v>138</v>
      </c>
      <c r="D65" s="175"/>
      <c r="E65" s="175"/>
      <c r="F65" s="165"/>
      <c r="G65" s="165"/>
      <c r="H65" s="348"/>
      <c r="I65" s="348"/>
      <c r="J65" s="348"/>
      <c r="K65" s="348"/>
      <c r="L65" s="348"/>
      <c r="M65" s="348"/>
      <c r="N65" s="136"/>
      <c r="O65" s="54"/>
      <c r="AA65" s="54"/>
      <c r="AB65" s="54"/>
      <c r="AC65" s="54"/>
      <c r="AD65" s="54"/>
      <c r="AE65" s="54"/>
      <c r="AF65" s="54"/>
    </row>
    <row r="66" spans="1:36" ht="15" hidden="1" customHeight="1" thickBot="1" x14ac:dyDescent="0.25">
      <c r="A66" s="29" t="s">
        <v>437</v>
      </c>
      <c r="C66" s="8" t="s">
        <v>45</v>
      </c>
      <c r="D66" s="276"/>
      <c r="E66" s="276"/>
      <c r="F66" s="276"/>
      <c r="G66" s="276"/>
      <c r="H66" s="276"/>
      <c r="I66" s="276"/>
      <c r="J66" s="276"/>
      <c r="K66" s="276"/>
      <c r="L66" s="276"/>
      <c r="M66" s="276"/>
      <c r="N66" s="136"/>
      <c r="O66" s="54"/>
      <c r="AA66" s="54"/>
      <c r="AB66" s="54"/>
      <c r="AC66" s="54"/>
      <c r="AD66" s="54"/>
      <c r="AE66" s="54"/>
      <c r="AF66" s="54"/>
    </row>
    <row r="67" spans="1:36" ht="32.1" hidden="1" customHeight="1" x14ac:dyDescent="0.2">
      <c r="A67" s="29" t="s">
        <v>438</v>
      </c>
      <c r="C67" s="243"/>
      <c r="D67" s="243"/>
      <c r="E67" s="243"/>
      <c r="F67" s="243"/>
      <c r="G67" s="243"/>
      <c r="H67" s="243"/>
      <c r="I67" s="243"/>
      <c r="J67" s="243"/>
      <c r="K67" s="243"/>
      <c r="L67" s="243"/>
      <c r="M67" s="243"/>
      <c r="N67" s="136" t="s">
        <v>342</v>
      </c>
      <c r="O67" s="54"/>
      <c r="AA67" s="54"/>
      <c r="AB67" s="54"/>
      <c r="AC67" s="54"/>
      <c r="AD67" s="54"/>
      <c r="AE67" s="54"/>
      <c r="AF67" s="54"/>
    </row>
    <row r="68" spans="1:36" ht="15" customHeight="1" thickBot="1" x14ac:dyDescent="0.25">
      <c r="A68" s="29" t="s">
        <v>439</v>
      </c>
      <c r="C68" s="264" t="s">
        <v>141</v>
      </c>
      <c r="D68" s="264"/>
      <c r="E68" s="264"/>
      <c r="F68" s="350"/>
      <c r="G68" s="350"/>
      <c r="H68" s="350"/>
      <c r="I68" s="350"/>
      <c r="J68" s="350"/>
      <c r="K68" s="350"/>
      <c r="L68" s="350"/>
      <c r="M68" s="350"/>
      <c r="N68" s="136"/>
      <c r="O68" s="54"/>
      <c r="AA68" s="54"/>
      <c r="AB68" s="54"/>
      <c r="AC68" s="54"/>
      <c r="AD68" s="54"/>
      <c r="AE68" s="54"/>
      <c r="AF68" s="54"/>
    </row>
    <row r="69" spans="1:36" ht="15" hidden="1" customHeight="1" x14ac:dyDescent="0.2">
      <c r="A69" s="29" t="s">
        <v>282</v>
      </c>
      <c r="C69" s="186" t="s">
        <v>137</v>
      </c>
      <c r="D69" s="186"/>
      <c r="E69" s="186"/>
      <c r="F69" s="187"/>
      <c r="G69" s="187"/>
      <c r="H69" s="351" t="str">
        <f>IF(F69="Partially Open","Open Up To (m)","")</f>
        <v/>
      </c>
      <c r="I69" s="351"/>
      <c r="J69" s="352"/>
      <c r="K69" s="352"/>
      <c r="L69" s="352"/>
      <c r="M69" s="352"/>
      <c r="N69" s="136"/>
      <c r="O69" s="54"/>
      <c r="AA69" s="54"/>
      <c r="AB69" s="54"/>
      <c r="AC69" s="54"/>
      <c r="AD69" s="54"/>
      <c r="AE69" s="54"/>
      <c r="AF69" s="54"/>
    </row>
    <row r="70" spans="1:36" ht="15" hidden="1" customHeight="1" x14ac:dyDescent="0.2">
      <c r="A70" s="29"/>
      <c r="C70" s="175" t="s">
        <v>138</v>
      </c>
      <c r="D70" s="175"/>
      <c r="E70" s="175"/>
      <c r="F70" s="165"/>
      <c r="G70" s="165"/>
      <c r="H70" s="348"/>
      <c r="I70" s="348"/>
      <c r="J70" s="348"/>
      <c r="K70" s="348"/>
      <c r="L70" s="348"/>
      <c r="M70" s="348"/>
      <c r="N70" s="136"/>
      <c r="O70" s="54"/>
      <c r="AA70" s="54"/>
      <c r="AB70" s="54"/>
      <c r="AC70" s="54"/>
      <c r="AD70" s="54"/>
      <c r="AE70" s="54"/>
      <c r="AF70" s="54"/>
    </row>
    <row r="71" spans="1:36" ht="15" hidden="1" customHeight="1" thickBot="1" x14ac:dyDescent="0.25">
      <c r="C71" s="8" t="s">
        <v>45</v>
      </c>
      <c r="D71" s="276"/>
      <c r="E71" s="276"/>
      <c r="F71" s="276"/>
      <c r="G71" s="276"/>
      <c r="H71" s="276"/>
      <c r="I71" s="276"/>
      <c r="J71" s="276"/>
      <c r="K71" s="276"/>
      <c r="L71" s="276"/>
      <c r="M71" s="276"/>
      <c r="N71" s="136"/>
      <c r="O71" s="54"/>
      <c r="AA71" s="54"/>
      <c r="AB71" s="54"/>
      <c r="AC71" s="54"/>
      <c r="AD71" s="54"/>
      <c r="AE71" s="54"/>
      <c r="AF71" s="54"/>
    </row>
    <row r="72" spans="1:36" ht="15" customHeight="1" x14ac:dyDescent="0.2">
      <c r="C72" s="243"/>
      <c r="D72" s="243"/>
      <c r="E72" s="243"/>
      <c r="F72" s="243"/>
      <c r="G72" s="243"/>
      <c r="H72" s="243"/>
      <c r="I72" s="243"/>
      <c r="J72" s="243"/>
      <c r="K72" s="243"/>
      <c r="L72" s="243"/>
      <c r="M72" s="243"/>
      <c r="N72" s="136"/>
      <c r="O72" s="54"/>
      <c r="AA72" s="54"/>
      <c r="AB72" s="54"/>
      <c r="AC72" s="54"/>
      <c r="AD72" s="54"/>
      <c r="AE72" s="54"/>
      <c r="AF72" s="54"/>
    </row>
    <row r="73" spans="1:36" ht="15" customHeight="1" x14ac:dyDescent="0.2">
      <c r="C73" s="147" t="s">
        <v>144</v>
      </c>
      <c r="D73" s="147"/>
      <c r="E73" s="349"/>
      <c r="F73" s="349"/>
      <c r="G73" s="349"/>
      <c r="H73" s="349"/>
      <c r="I73" s="349"/>
      <c r="J73" s="349"/>
      <c r="K73" s="349"/>
      <c r="L73" s="349"/>
      <c r="M73" s="349"/>
      <c r="N73" s="136"/>
      <c r="O73" s="54"/>
      <c r="AA73" s="68"/>
      <c r="AB73" s="68"/>
      <c r="AC73" s="68"/>
      <c r="AD73" s="68"/>
      <c r="AE73" s="68"/>
      <c r="AF73" s="68"/>
      <c r="AG73" s="69"/>
      <c r="AH73" s="69"/>
      <c r="AI73" s="69"/>
      <c r="AJ73" s="69"/>
    </row>
    <row r="74" spans="1:36" ht="15" customHeight="1" x14ac:dyDescent="0.2">
      <c r="A74" s="28" t="s">
        <v>147</v>
      </c>
      <c r="C74" s="345" t="s">
        <v>145</v>
      </c>
      <c r="D74" s="345"/>
      <c r="E74" s="345"/>
      <c r="F74" s="346" t="s">
        <v>147</v>
      </c>
      <c r="G74" s="346"/>
      <c r="H74" s="347"/>
      <c r="I74" s="347"/>
      <c r="J74" s="347"/>
      <c r="K74" s="347"/>
      <c r="L74" s="347"/>
      <c r="M74" s="347"/>
      <c r="N74" s="136"/>
      <c r="O74" s="65"/>
      <c r="P74" s="66"/>
      <c r="Q74" s="66"/>
      <c r="R74" s="66"/>
      <c r="S74" s="66"/>
      <c r="T74" s="67"/>
      <c r="U74" s="67"/>
      <c r="V74" s="67"/>
      <c r="W74" s="67"/>
      <c r="X74" s="67"/>
      <c r="Y74" s="67"/>
      <c r="Z74" s="67"/>
      <c r="AA74" s="68"/>
      <c r="AB74" s="68"/>
      <c r="AC74" s="68"/>
      <c r="AD74" s="68"/>
      <c r="AE74" s="68"/>
      <c r="AF74" s="68"/>
      <c r="AG74" s="69"/>
      <c r="AH74" s="69"/>
      <c r="AI74" s="69"/>
      <c r="AJ74" s="69"/>
    </row>
    <row r="75" spans="1:36" ht="15" customHeight="1" x14ac:dyDescent="0.2">
      <c r="A75" s="28" t="s">
        <v>181</v>
      </c>
      <c r="C75" s="343" t="s">
        <v>146</v>
      </c>
      <c r="D75" s="343"/>
      <c r="E75" s="343"/>
      <c r="F75" s="200" t="str">
        <f>IF(OR(F74="None",F74="Others"),"",S124)</f>
        <v>TCSQ50: S-ZAS(PPGI G60)-ZSP-0.5-FW , Q-ZAS(PPGI G60)-ZSP-0.4-FW , 50mm PIR Core</v>
      </c>
      <c r="G75" s="200"/>
      <c r="H75" s="200"/>
      <c r="I75" s="200"/>
      <c r="J75" s="200"/>
      <c r="K75" s="200"/>
      <c r="L75" s="200"/>
      <c r="M75" s="200"/>
      <c r="N75" s="136"/>
      <c r="O75" s="54" t="s">
        <v>192</v>
      </c>
      <c r="P75" s="26" t="s">
        <v>195</v>
      </c>
      <c r="Q75" s="26" t="s">
        <v>198</v>
      </c>
      <c r="R75" s="26" t="s">
        <v>203</v>
      </c>
      <c r="S75" s="26" t="s">
        <v>206</v>
      </c>
      <c r="T75" s="2" t="s">
        <v>211</v>
      </c>
      <c r="U75" s="2" t="s">
        <v>215</v>
      </c>
      <c r="V75" s="2" t="s">
        <v>147</v>
      </c>
      <c r="AA75" s="54"/>
      <c r="AB75" s="54"/>
      <c r="AC75" s="54"/>
      <c r="AD75" s="54"/>
      <c r="AE75" s="54"/>
      <c r="AF75" s="54"/>
    </row>
    <row r="76" spans="1:36" ht="15" customHeight="1" x14ac:dyDescent="0.2">
      <c r="A76" s="28" t="s">
        <v>182</v>
      </c>
      <c r="C76" s="181" t="s">
        <v>149</v>
      </c>
      <c r="D76" s="181"/>
      <c r="E76" s="181"/>
      <c r="F76" s="342" t="s">
        <v>155</v>
      </c>
      <c r="G76" s="342"/>
      <c r="H76" s="347"/>
      <c r="I76" s="347"/>
      <c r="J76" s="347"/>
      <c r="K76" s="347"/>
      <c r="L76" s="347"/>
      <c r="M76" s="347"/>
      <c r="N76" s="136"/>
      <c r="O76" s="54" t="s">
        <v>193</v>
      </c>
      <c r="P76" s="26" t="s">
        <v>196</v>
      </c>
      <c r="Q76" s="26" t="s">
        <v>199</v>
      </c>
      <c r="R76" s="26" t="s">
        <v>204</v>
      </c>
      <c r="S76" s="26" t="s">
        <v>207</v>
      </c>
      <c r="T76" s="2" t="s">
        <v>212</v>
      </c>
      <c r="U76" s="2" t="s">
        <v>216</v>
      </c>
      <c r="V76" s="2" t="s">
        <v>181</v>
      </c>
      <c r="AA76" s="54"/>
      <c r="AB76" s="54"/>
      <c r="AC76" s="54"/>
      <c r="AD76" s="54"/>
      <c r="AE76" s="54"/>
      <c r="AF76" s="54"/>
    </row>
    <row r="77" spans="1:36" ht="15" customHeight="1" x14ac:dyDescent="0.2">
      <c r="A77" s="28" t="s">
        <v>40</v>
      </c>
      <c r="C77" s="343" t="s">
        <v>146</v>
      </c>
      <c r="D77" s="343"/>
      <c r="E77" s="343"/>
      <c r="F77" s="200" t="str">
        <f>IF(OR(F76="None",F76="Others"),"",Q124)</f>
        <v/>
      </c>
      <c r="G77" s="200"/>
      <c r="H77" s="200"/>
      <c r="I77" s="200"/>
      <c r="J77" s="200"/>
      <c r="K77" s="200"/>
      <c r="L77" s="200"/>
      <c r="M77" s="200"/>
      <c r="N77" s="136"/>
      <c r="O77" s="54" t="s">
        <v>194</v>
      </c>
      <c r="P77" s="26" t="s">
        <v>197</v>
      </c>
      <c r="Q77" s="26" t="s">
        <v>200</v>
      </c>
      <c r="R77" s="26" t="s">
        <v>205</v>
      </c>
      <c r="S77" s="26" t="s">
        <v>208</v>
      </c>
      <c r="T77" s="2" t="s">
        <v>213</v>
      </c>
      <c r="V77" s="2" t="s">
        <v>182</v>
      </c>
      <c r="AA77" s="54"/>
      <c r="AB77" s="54"/>
      <c r="AC77" s="54"/>
      <c r="AD77" s="54"/>
      <c r="AE77" s="54"/>
      <c r="AF77" s="54"/>
    </row>
    <row r="78" spans="1:36" ht="15" customHeight="1" x14ac:dyDescent="0.2">
      <c r="A78" s="28" t="s">
        <v>155</v>
      </c>
      <c r="C78" s="181" t="s">
        <v>148</v>
      </c>
      <c r="D78" s="181"/>
      <c r="E78" s="181"/>
      <c r="F78" s="342" t="s">
        <v>155</v>
      </c>
      <c r="G78" s="342"/>
      <c r="H78" s="347"/>
      <c r="I78" s="347"/>
      <c r="J78" s="347"/>
      <c r="K78" s="347"/>
      <c r="L78" s="347"/>
      <c r="M78" s="347"/>
      <c r="N78" s="136"/>
      <c r="O78" s="54" t="s">
        <v>155</v>
      </c>
      <c r="Q78" s="26" t="s">
        <v>201</v>
      </c>
      <c r="R78" s="26" t="s">
        <v>238</v>
      </c>
      <c r="S78" s="26" t="s">
        <v>209</v>
      </c>
      <c r="T78" s="2" t="s">
        <v>236</v>
      </c>
      <c r="V78" s="2" t="s">
        <v>40</v>
      </c>
      <c r="AA78" s="54"/>
      <c r="AB78" s="54"/>
      <c r="AC78" s="54"/>
      <c r="AD78" s="54"/>
      <c r="AE78" s="54"/>
      <c r="AF78" s="54"/>
    </row>
    <row r="79" spans="1:36" ht="15" customHeight="1" x14ac:dyDescent="0.2">
      <c r="C79" s="343" t="s">
        <v>146</v>
      </c>
      <c r="D79" s="343"/>
      <c r="E79" s="343"/>
      <c r="F79" s="200" t="str">
        <f>IF(OR(F78="None",F78="Others"),"",V89)</f>
        <v/>
      </c>
      <c r="G79" s="200"/>
      <c r="H79" s="200"/>
      <c r="I79" s="200"/>
      <c r="J79" s="200"/>
      <c r="K79" s="200"/>
      <c r="L79" s="200"/>
      <c r="M79" s="200"/>
      <c r="N79" s="136"/>
      <c r="O79" s="54"/>
      <c r="Q79" s="26" t="s">
        <v>202</v>
      </c>
      <c r="S79" s="26" t="s">
        <v>210</v>
      </c>
      <c r="T79" s="2" t="s">
        <v>214</v>
      </c>
      <c r="V79" s="2" t="s">
        <v>155</v>
      </c>
      <c r="AA79" s="54"/>
      <c r="AB79" s="54"/>
      <c r="AC79" s="54"/>
      <c r="AD79" s="54"/>
      <c r="AE79" s="54"/>
      <c r="AF79" s="54"/>
    </row>
    <row r="80" spans="1:36" ht="15" customHeight="1" x14ac:dyDescent="0.2">
      <c r="A80" s="28" t="s">
        <v>54</v>
      </c>
      <c r="C80" s="345" t="s">
        <v>150</v>
      </c>
      <c r="D80" s="345"/>
      <c r="E80" s="345"/>
      <c r="F80" s="346" t="s">
        <v>147</v>
      </c>
      <c r="G80" s="346"/>
      <c r="H80" s="347"/>
      <c r="I80" s="347"/>
      <c r="J80" s="347"/>
      <c r="K80" s="347"/>
      <c r="L80" s="347"/>
      <c r="M80" s="347"/>
      <c r="N80" s="136"/>
      <c r="O80" s="54"/>
      <c r="T80" s="2" t="s">
        <v>197</v>
      </c>
      <c r="AA80" s="54"/>
      <c r="AB80" s="54"/>
      <c r="AC80" s="54"/>
      <c r="AD80" s="54"/>
      <c r="AE80" s="54"/>
      <c r="AF80" s="54"/>
    </row>
    <row r="81" spans="1:32" ht="15" customHeight="1" x14ac:dyDescent="0.2">
      <c r="A81" s="28" t="s">
        <v>184</v>
      </c>
      <c r="C81" s="343" t="s">
        <v>146</v>
      </c>
      <c r="D81" s="343"/>
      <c r="E81" s="343"/>
      <c r="F81" s="200" t="str">
        <f>IF(OR(F80="None",F80="Others"),"",R124)</f>
        <v>TCSQ50	: S-ZAS(PPGI G60)-ZSP-0.5-FW , Q-ZAS(PPGI G60)-ZSP-0.4-FW , 50	mm PIR Core</v>
      </c>
      <c r="G81" s="200"/>
      <c r="H81" s="200"/>
      <c r="I81" s="200"/>
      <c r="J81" s="200"/>
      <c r="K81" s="200"/>
      <c r="L81" s="200"/>
      <c r="M81" s="200"/>
      <c r="N81" s="136"/>
      <c r="O81" s="54"/>
      <c r="AA81" s="54"/>
      <c r="AB81" s="54"/>
      <c r="AC81" s="54"/>
      <c r="AD81" s="54"/>
      <c r="AE81" s="54"/>
      <c r="AF81" s="54"/>
    </row>
    <row r="82" spans="1:32" ht="15" customHeight="1" x14ac:dyDescent="0.2">
      <c r="A82" s="28" t="s">
        <v>185</v>
      </c>
      <c r="C82" s="181" t="s">
        <v>152</v>
      </c>
      <c r="D82" s="181"/>
      <c r="E82" s="181"/>
      <c r="F82" s="342" t="s">
        <v>155</v>
      </c>
      <c r="G82" s="342"/>
      <c r="H82" s="347"/>
      <c r="I82" s="347"/>
      <c r="J82" s="347"/>
      <c r="K82" s="347"/>
      <c r="L82" s="347"/>
      <c r="M82" s="347"/>
      <c r="N82" s="136"/>
      <c r="O82" s="54"/>
      <c r="P82" s="26" t="s">
        <v>217</v>
      </c>
      <c r="Q82" s="26" t="s">
        <v>218</v>
      </c>
      <c r="R82" s="26" t="s">
        <v>233</v>
      </c>
      <c r="S82" s="26" t="s">
        <v>235</v>
      </c>
      <c r="AA82" s="54"/>
      <c r="AB82" s="54"/>
      <c r="AC82" s="54"/>
      <c r="AD82" s="54"/>
      <c r="AE82" s="54"/>
      <c r="AF82" s="54"/>
    </row>
    <row r="83" spans="1:32" ht="15" customHeight="1" x14ac:dyDescent="0.2">
      <c r="A83" s="28" t="s">
        <v>186</v>
      </c>
      <c r="C83" s="343" t="s">
        <v>146</v>
      </c>
      <c r="D83" s="343"/>
      <c r="E83" s="343"/>
      <c r="F83" s="200" t="str">
        <f>IF(OR(F82="None",F82="Others"),"",P124)</f>
        <v/>
      </c>
      <c r="G83" s="200"/>
      <c r="H83" s="200"/>
      <c r="I83" s="200"/>
      <c r="J83" s="200"/>
      <c r="K83" s="200"/>
      <c r="L83" s="200"/>
      <c r="M83" s="200"/>
      <c r="N83" s="136"/>
      <c r="O83" s="54"/>
      <c r="P83" s="26" t="str">
        <f>F82</f>
        <v>None</v>
      </c>
      <c r="Q83" s="26" t="s">
        <v>40</v>
      </c>
      <c r="R83" s="26" t="str">
        <f>F80</f>
        <v>BCOMS</v>
      </c>
      <c r="S83" s="26" t="str">
        <f>F74</f>
        <v>BCOMS</v>
      </c>
      <c r="T83" s="43"/>
      <c r="U83" s="29" t="s">
        <v>163</v>
      </c>
      <c r="V83" s="2" t="str">
        <f>F78</f>
        <v>None</v>
      </c>
      <c r="W83" s="2" t="str">
        <f>F84</f>
        <v>None</v>
      </c>
      <c r="Y83" s="2" t="s">
        <v>163</v>
      </c>
      <c r="AA83" s="54"/>
      <c r="AB83" s="54"/>
      <c r="AC83" s="54"/>
      <c r="AD83" s="54"/>
      <c r="AE83" s="54"/>
      <c r="AF83" s="54"/>
    </row>
    <row r="84" spans="1:32" s="18" customFormat="1" ht="15" customHeight="1" x14ac:dyDescent="0.2">
      <c r="A84" s="38" t="s">
        <v>187</v>
      </c>
      <c r="C84" s="181" t="s">
        <v>151</v>
      </c>
      <c r="D84" s="181"/>
      <c r="E84" s="181"/>
      <c r="F84" s="342" t="s">
        <v>155</v>
      </c>
      <c r="G84" s="342"/>
      <c r="H84" s="347"/>
      <c r="I84" s="347"/>
      <c r="J84" s="347"/>
      <c r="K84" s="347"/>
      <c r="L84" s="347"/>
      <c r="M84" s="347"/>
      <c r="N84" s="137"/>
      <c r="O84" s="30"/>
      <c r="P84" s="30" t="b">
        <v>0</v>
      </c>
      <c r="Q84" s="30" t="b">
        <v>0</v>
      </c>
      <c r="R84" s="30" t="b">
        <v>0</v>
      </c>
      <c r="S84" s="30" t="b">
        <v>0</v>
      </c>
      <c r="T84" s="5"/>
      <c r="U84" s="6" t="s">
        <v>54</v>
      </c>
      <c r="V84" s="18" t="s">
        <v>216</v>
      </c>
      <c r="W84" s="18" t="s">
        <v>216</v>
      </c>
      <c r="Y84" s="18" t="s">
        <v>230</v>
      </c>
      <c r="AA84" s="25"/>
      <c r="AB84" s="25"/>
      <c r="AC84" s="25"/>
      <c r="AD84" s="25"/>
      <c r="AE84" s="25"/>
      <c r="AF84" s="25"/>
    </row>
    <row r="85" spans="1:32" s="18" customFormat="1" ht="15" customHeight="1" x14ac:dyDescent="0.2">
      <c r="A85" s="38" t="s">
        <v>188</v>
      </c>
      <c r="C85" s="343" t="s">
        <v>146</v>
      </c>
      <c r="D85" s="343"/>
      <c r="E85" s="343"/>
      <c r="F85" s="240" t="str">
        <f>IF(OR(F84="None",F84="Others"),"",W89)</f>
        <v/>
      </c>
      <c r="G85" s="240"/>
      <c r="H85" s="240"/>
      <c r="I85" s="240"/>
      <c r="J85" s="240"/>
      <c r="K85" s="240"/>
      <c r="L85" s="240"/>
      <c r="M85" s="240"/>
      <c r="N85" s="137"/>
      <c r="O85" s="30"/>
      <c r="P85" s="30" t="b">
        <v>0</v>
      </c>
      <c r="Q85" s="30" t="b">
        <v>0</v>
      </c>
      <c r="R85" s="30" t="b">
        <v>1</v>
      </c>
      <c r="S85" s="30" t="b">
        <v>1</v>
      </c>
      <c r="T85" s="5"/>
      <c r="U85" s="6" t="s">
        <v>53</v>
      </c>
      <c r="V85" s="18">
        <v>100</v>
      </c>
      <c r="W85" s="18">
        <v>100</v>
      </c>
      <c r="Y85" s="18" t="s">
        <v>229</v>
      </c>
      <c r="AA85" s="25"/>
      <c r="AB85" s="25"/>
      <c r="AC85" s="25"/>
      <c r="AD85" s="25"/>
      <c r="AE85" s="25"/>
      <c r="AF85" s="25"/>
    </row>
    <row r="86" spans="1:32" ht="15" customHeight="1" x14ac:dyDescent="0.2">
      <c r="A86" s="28" t="s">
        <v>189</v>
      </c>
      <c r="C86" s="181" t="s">
        <v>153</v>
      </c>
      <c r="D86" s="181"/>
      <c r="E86" s="342" t="s">
        <v>449</v>
      </c>
      <c r="F86" s="342"/>
      <c r="G86" s="342"/>
      <c r="H86" s="342"/>
      <c r="I86" s="344" t="s">
        <v>441</v>
      </c>
      <c r="J86" s="344"/>
      <c r="K86" s="342" t="s">
        <v>436</v>
      </c>
      <c r="L86" s="342"/>
      <c r="M86" s="342"/>
      <c r="N86" s="138"/>
      <c r="P86" s="26" t="b">
        <v>1</v>
      </c>
      <c r="Q86" s="26" t="b">
        <v>1</v>
      </c>
      <c r="R86" s="26" t="b">
        <v>0</v>
      </c>
      <c r="T86" s="1"/>
      <c r="U86" s="24" t="s">
        <v>220</v>
      </c>
      <c r="V86" s="2">
        <v>3</v>
      </c>
      <c r="W86" s="2">
        <v>2</v>
      </c>
      <c r="Y86" s="2" t="s">
        <v>234</v>
      </c>
      <c r="AA86" s="54"/>
      <c r="AB86" s="54"/>
      <c r="AC86" s="54"/>
      <c r="AD86" s="54"/>
      <c r="AE86" s="54"/>
      <c r="AF86" s="54"/>
    </row>
    <row r="87" spans="1:32" ht="15" customHeight="1" x14ac:dyDescent="0.2">
      <c r="A87" s="28" t="s">
        <v>190</v>
      </c>
      <c r="C87" s="181" t="s">
        <v>424</v>
      </c>
      <c r="D87" s="181"/>
      <c r="E87" s="342"/>
      <c r="F87" s="342"/>
      <c r="G87" s="342"/>
      <c r="H87" s="342"/>
      <c r="I87" s="344" t="s">
        <v>440</v>
      </c>
      <c r="J87" s="344"/>
      <c r="K87" s="342" t="s">
        <v>437</v>
      </c>
      <c r="L87" s="342"/>
      <c r="M87" s="342"/>
      <c r="N87" s="138"/>
      <c r="P87" s="26" t="s">
        <v>211</v>
      </c>
      <c r="Q87" s="26" t="s">
        <v>212</v>
      </c>
      <c r="R87" s="26" t="s">
        <v>211</v>
      </c>
      <c r="S87" s="26" t="s">
        <v>211</v>
      </c>
      <c r="T87" s="1" t="s">
        <v>222</v>
      </c>
      <c r="U87" s="24" t="s">
        <v>219</v>
      </c>
      <c r="AA87" s="54"/>
      <c r="AB87" s="54"/>
      <c r="AC87" s="54"/>
      <c r="AD87" s="54"/>
      <c r="AE87" s="54"/>
      <c r="AF87" s="54"/>
    </row>
    <row r="88" spans="1:32" ht="15" customHeight="1" x14ac:dyDescent="0.2">
      <c r="A88" s="28" t="s">
        <v>191</v>
      </c>
      <c r="C88" s="331"/>
      <c r="D88" s="331"/>
      <c r="E88" s="331"/>
      <c r="F88" s="331"/>
      <c r="G88" s="331"/>
      <c r="H88" s="331"/>
      <c r="I88" s="331"/>
      <c r="J88" s="331"/>
      <c r="K88" s="331"/>
      <c r="L88" s="331"/>
      <c r="M88" s="331"/>
      <c r="N88" s="138"/>
      <c r="P88" s="26">
        <v>0.7</v>
      </c>
      <c r="Q88" s="26">
        <v>0.5</v>
      </c>
      <c r="R88" s="26">
        <v>0.5</v>
      </c>
      <c r="S88" s="26">
        <v>0.5</v>
      </c>
      <c r="T88" s="1"/>
      <c r="U88" s="24" t="s">
        <v>221</v>
      </c>
      <c r="AA88" s="54"/>
      <c r="AB88" s="54"/>
      <c r="AC88" s="54"/>
      <c r="AD88" s="54"/>
      <c r="AE88" s="54"/>
      <c r="AF88" s="54"/>
    </row>
    <row r="89" spans="1:32" ht="15" customHeight="1" x14ac:dyDescent="0.2">
      <c r="A89" s="28" t="s">
        <v>156</v>
      </c>
      <c r="C89" s="104" t="s">
        <v>125</v>
      </c>
      <c r="D89" s="340" t="s">
        <v>461</v>
      </c>
      <c r="E89" s="287"/>
      <c r="F89" s="287"/>
      <c r="G89" s="287"/>
      <c r="H89" s="287"/>
      <c r="I89" s="287"/>
      <c r="J89" s="287"/>
      <c r="K89" s="287"/>
      <c r="L89" s="287"/>
      <c r="M89" s="288"/>
      <c r="N89" s="138"/>
      <c r="P89" s="26" t="s">
        <v>196</v>
      </c>
      <c r="Q89" s="26" t="s">
        <v>195</v>
      </c>
      <c r="R89" s="26" t="s">
        <v>195</v>
      </c>
      <c r="S89" s="26" t="s">
        <v>195</v>
      </c>
      <c r="T89" s="1"/>
      <c r="U89" s="24" t="s">
        <v>223</v>
      </c>
      <c r="V89" s="2" t="str">
        <f>"INS: "&amp;IF(V84="Rockwool","RW-","FG-")&amp;V85&amp;"mm-"&amp;V86&amp;"kg/m3"</f>
        <v>INS: RW-100mm-3kg/m3</v>
      </c>
      <c r="W89" s="2" t="str">
        <f>"INS: "&amp;IF(W84="Rockwool","RW-","FG-")&amp;W85&amp;"mm-"&amp;W86&amp;"kg/m3"</f>
        <v>INS: RW-100mm-2kg/m3</v>
      </c>
      <c r="AA89" s="54"/>
      <c r="AB89" s="54"/>
      <c r="AC89" s="54"/>
      <c r="AD89" s="54"/>
      <c r="AE89" s="54"/>
      <c r="AF89" s="54"/>
    </row>
    <row r="90" spans="1:32" ht="15" customHeight="1" x14ac:dyDescent="0.2">
      <c r="A90" s="28" t="s">
        <v>183</v>
      </c>
      <c r="C90" s="341"/>
      <c r="D90" s="289"/>
      <c r="E90" s="290"/>
      <c r="F90" s="290"/>
      <c r="G90" s="290"/>
      <c r="H90" s="290"/>
      <c r="I90" s="290"/>
      <c r="J90" s="290"/>
      <c r="K90" s="290"/>
      <c r="L90" s="290"/>
      <c r="M90" s="291"/>
      <c r="N90" s="138"/>
      <c r="P90" s="26" t="s">
        <v>199</v>
      </c>
      <c r="Q90" s="26" t="s">
        <v>199</v>
      </c>
      <c r="R90" s="26" t="s">
        <v>450</v>
      </c>
      <c r="S90" s="26" t="s">
        <v>450</v>
      </c>
      <c r="T90" s="1"/>
      <c r="U90" s="24" t="s">
        <v>224</v>
      </c>
      <c r="V90" s="29" t="s">
        <v>237</v>
      </c>
      <c r="AA90" s="54"/>
      <c r="AB90" s="54"/>
      <c r="AC90" s="54"/>
      <c r="AD90" s="54"/>
      <c r="AE90" s="54"/>
      <c r="AF90" s="54"/>
    </row>
    <row r="91" spans="1:32" ht="15" customHeight="1" x14ac:dyDescent="0.2">
      <c r="A91" s="28" t="s">
        <v>428</v>
      </c>
      <c r="C91" s="341"/>
      <c r="D91" s="289"/>
      <c r="E91" s="290"/>
      <c r="F91" s="290"/>
      <c r="G91" s="290"/>
      <c r="H91" s="290"/>
      <c r="I91" s="290"/>
      <c r="J91" s="290"/>
      <c r="K91" s="290"/>
      <c r="L91" s="290"/>
      <c r="M91" s="291"/>
      <c r="N91" s="138"/>
      <c r="P91" s="26" t="s">
        <v>205</v>
      </c>
      <c r="Q91" s="26" t="s">
        <v>205</v>
      </c>
      <c r="R91" s="26" t="s">
        <v>203</v>
      </c>
      <c r="S91" s="26" t="s">
        <v>203</v>
      </c>
      <c r="T91" s="1"/>
      <c r="U91" s="24" t="s">
        <v>225</v>
      </c>
      <c r="AA91" s="54"/>
      <c r="AB91" s="54"/>
      <c r="AC91" s="54"/>
      <c r="AD91" s="54"/>
      <c r="AE91" s="54"/>
      <c r="AF91" s="54"/>
    </row>
    <row r="92" spans="1:32" ht="15" customHeight="1" x14ac:dyDescent="0.2">
      <c r="A92" s="28" t="s">
        <v>429</v>
      </c>
      <c r="C92" s="341"/>
      <c r="D92" s="289"/>
      <c r="E92" s="290"/>
      <c r="F92" s="290"/>
      <c r="G92" s="290"/>
      <c r="H92" s="290"/>
      <c r="I92" s="290"/>
      <c r="J92" s="290"/>
      <c r="K92" s="290"/>
      <c r="L92" s="290"/>
      <c r="M92" s="291"/>
      <c r="N92" s="138"/>
      <c r="P92" s="31" t="s">
        <v>358</v>
      </c>
      <c r="Q92" s="31" t="s">
        <v>361</v>
      </c>
      <c r="R92" s="31"/>
      <c r="S92" s="31"/>
      <c r="T92" s="1"/>
      <c r="U92" s="24" t="s">
        <v>226</v>
      </c>
      <c r="AA92" s="54"/>
      <c r="AB92" s="54"/>
      <c r="AC92" s="54"/>
      <c r="AD92" s="54"/>
      <c r="AE92" s="54"/>
      <c r="AF92" s="54"/>
    </row>
    <row r="93" spans="1:32" ht="15" customHeight="1" x14ac:dyDescent="0.2">
      <c r="A93" s="28" t="s">
        <v>430</v>
      </c>
      <c r="C93" s="341"/>
      <c r="D93" s="292"/>
      <c r="E93" s="293"/>
      <c r="F93" s="293"/>
      <c r="G93" s="293"/>
      <c r="H93" s="293"/>
      <c r="I93" s="293"/>
      <c r="J93" s="293"/>
      <c r="K93" s="293"/>
      <c r="L93" s="293"/>
      <c r="M93" s="294"/>
      <c r="N93" s="138"/>
      <c r="P93" s="31" t="s">
        <v>210</v>
      </c>
      <c r="Q93" s="31" t="s">
        <v>210</v>
      </c>
      <c r="R93" s="31" t="s">
        <v>206</v>
      </c>
      <c r="S93" s="31" t="s">
        <v>206</v>
      </c>
      <c r="T93" s="1"/>
      <c r="U93" s="24" t="s">
        <v>227</v>
      </c>
      <c r="AA93" s="54"/>
      <c r="AB93" s="54"/>
      <c r="AC93" s="54"/>
      <c r="AD93" s="54"/>
      <c r="AE93" s="54"/>
      <c r="AF93" s="54"/>
    </row>
    <row r="94" spans="1:32" ht="15" customHeight="1" thickBot="1" x14ac:dyDescent="0.25">
      <c r="A94" s="28" t="s">
        <v>431</v>
      </c>
      <c r="C94" s="296"/>
      <c r="D94" s="296"/>
      <c r="E94" s="296"/>
      <c r="F94" s="296"/>
      <c r="G94" s="296"/>
      <c r="H94" s="296"/>
      <c r="I94" s="296"/>
      <c r="J94" s="296"/>
      <c r="K94" s="296"/>
      <c r="L94" s="296"/>
      <c r="M94" s="296"/>
      <c r="N94" s="138"/>
      <c r="P94" s="34" t="s">
        <v>364</v>
      </c>
      <c r="Q94" s="34" t="s">
        <v>362</v>
      </c>
      <c r="R94" s="34"/>
      <c r="S94" s="34"/>
      <c r="T94" s="1"/>
      <c r="U94" s="24" t="s">
        <v>228</v>
      </c>
      <c r="AA94" s="54"/>
      <c r="AB94" s="54"/>
      <c r="AC94" s="54"/>
      <c r="AD94" s="54"/>
      <c r="AE94" s="54"/>
      <c r="AF94" s="54"/>
    </row>
    <row r="95" spans="1:32" ht="15" hidden="1" customHeight="1" x14ac:dyDescent="0.2">
      <c r="C95" s="56"/>
      <c r="D95" s="56"/>
      <c r="E95" s="56"/>
      <c r="F95" s="101"/>
      <c r="G95" s="56"/>
      <c r="H95" s="56"/>
      <c r="I95" s="56"/>
      <c r="J95" s="56"/>
      <c r="K95" s="57"/>
      <c r="L95" s="57"/>
      <c r="M95" s="56"/>
      <c r="N95" s="138" t="s">
        <v>342</v>
      </c>
      <c r="P95" s="34"/>
      <c r="Q95" s="34"/>
      <c r="R95" s="34"/>
      <c r="S95" s="34"/>
      <c r="T95" s="1"/>
      <c r="U95" s="24"/>
      <c r="AA95" s="54"/>
      <c r="AB95" s="54"/>
      <c r="AC95" s="54"/>
      <c r="AD95" s="54"/>
      <c r="AE95" s="54"/>
      <c r="AF95" s="54"/>
    </row>
    <row r="96" spans="1:32" ht="15" customHeight="1" x14ac:dyDescent="0.2">
      <c r="C96" s="90" t="s">
        <v>157</v>
      </c>
      <c r="D96" s="5"/>
      <c r="E96" s="5"/>
      <c r="F96" s="5"/>
      <c r="G96" s="5"/>
      <c r="H96" s="5"/>
      <c r="I96" s="5"/>
      <c r="J96" s="5"/>
      <c r="K96" s="5"/>
      <c r="L96" s="5"/>
      <c r="M96" s="5"/>
      <c r="N96" s="138"/>
      <c r="P96" s="26">
        <v>60</v>
      </c>
      <c r="R96" s="26" t="s">
        <v>448</v>
      </c>
      <c r="S96" s="26">
        <v>50</v>
      </c>
      <c r="T96" s="1" t="s">
        <v>231</v>
      </c>
      <c r="U96" s="24" t="s">
        <v>229</v>
      </c>
      <c r="AA96" s="54"/>
      <c r="AB96" s="54"/>
      <c r="AC96" s="54"/>
      <c r="AD96" s="54"/>
      <c r="AE96" s="54"/>
      <c r="AF96" s="54"/>
    </row>
    <row r="97" spans="1:32" ht="15" customHeight="1" x14ac:dyDescent="0.2">
      <c r="C97" s="186" t="s">
        <v>158</v>
      </c>
      <c r="D97" s="186"/>
      <c r="E97" s="186"/>
      <c r="F97" s="125" t="s">
        <v>248</v>
      </c>
      <c r="G97" s="335" t="str">
        <f>IF(F97="Special","Material Specs","")</f>
        <v/>
      </c>
      <c r="H97" s="335"/>
      <c r="I97" s="336"/>
      <c r="J97" s="336"/>
      <c r="K97" s="336"/>
      <c r="L97" s="336"/>
      <c r="M97" s="336"/>
      <c r="N97" s="138"/>
      <c r="P97" s="26" t="s">
        <v>192</v>
      </c>
      <c r="Q97" s="26" t="s">
        <v>193</v>
      </c>
      <c r="R97" s="26" t="s">
        <v>192</v>
      </c>
      <c r="S97" s="26" t="s">
        <v>192</v>
      </c>
      <c r="T97" s="1"/>
      <c r="U97" s="24" t="s">
        <v>230</v>
      </c>
      <c r="AA97" s="54"/>
      <c r="AB97" s="54"/>
      <c r="AC97" s="54"/>
      <c r="AD97" s="54"/>
      <c r="AE97" s="54"/>
      <c r="AF97" s="54"/>
    </row>
    <row r="98" spans="1:32" ht="15" customHeight="1" x14ac:dyDescent="0.2">
      <c r="A98" s="28" t="s">
        <v>248</v>
      </c>
      <c r="C98" s="337" t="str">
        <f>IF(F97="Standard*","* For Std Accessories, Eave Gutter, Downspouts, or Curved Eaves, External Wall Flashing and Trims are produced from the same materials as external wall panels. Internal Flashing and trims are produced from the same materials as internal wall panels.","")</f>
        <v>* For Std Accessories, Eave Gutter, Downspouts, or Curved Eaves, External Wall Flashing and Trims are produced from the same materials as external wall panels. Internal Flashing and trims are produced from the same materials as internal wall panels.</v>
      </c>
      <c r="D98" s="337"/>
      <c r="E98" s="337"/>
      <c r="F98" s="337"/>
      <c r="G98" s="337"/>
      <c r="H98" s="337"/>
      <c r="I98" s="337"/>
      <c r="J98" s="337"/>
      <c r="K98" s="337"/>
      <c r="L98" s="337"/>
      <c r="M98" s="337"/>
      <c r="N98" s="138"/>
      <c r="T98" s="1"/>
      <c r="U98" s="24"/>
      <c r="AA98" s="54"/>
      <c r="AB98" s="54">
        <v>28</v>
      </c>
      <c r="AC98" s="54">
        <v>29</v>
      </c>
      <c r="AD98" s="54">
        <v>30</v>
      </c>
      <c r="AE98" s="54">
        <v>31</v>
      </c>
      <c r="AF98" s="54">
        <v>32</v>
      </c>
    </row>
    <row r="99" spans="1:32" ht="12" thickBot="1" x14ac:dyDescent="0.25">
      <c r="A99" s="28" t="s">
        <v>205</v>
      </c>
      <c r="C99" s="338"/>
      <c r="D99" s="338"/>
      <c r="E99" s="338"/>
      <c r="F99" s="338"/>
      <c r="G99" s="338"/>
      <c r="H99" s="338"/>
      <c r="I99" s="338"/>
      <c r="J99" s="338"/>
      <c r="K99" s="338"/>
      <c r="L99" s="338"/>
      <c r="M99" s="338"/>
      <c r="N99" s="138"/>
      <c r="P99" s="26" t="s">
        <v>214</v>
      </c>
      <c r="Q99" s="26" t="s">
        <v>213</v>
      </c>
      <c r="R99" s="26" t="s">
        <v>213</v>
      </c>
      <c r="S99" s="26" t="s">
        <v>213</v>
      </c>
      <c r="T99" s="1" t="s">
        <v>232</v>
      </c>
      <c r="U99" s="24" t="s">
        <v>219</v>
      </c>
      <c r="AA99" s="54"/>
      <c r="AB99" s="45" t="s">
        <v>332</v>
      </c>
      <c r="AC99" s="24" t="s">
        <v>333</v>
      </c>
      <c r="AD99" s="24" t="s">
        <v>336</v>
      </c>
      <c r="AE99" s="24" t="s">
        <v>334</v>
      </c>
      <c r="AF99" s="24" t="s">
        <v>335</v>
      </c>
    </row>
    <row r="100" spans="1:32" ht="15" hidden="1" customHeight="1" thickBot="1" x14ac:dyDescent="0.25">
      <c r="C100" s="339"/>
      <c r="D100" s="339"/>
      <c r="E100" s="339"/>
      <c r="F100" s="339"/>
      <c r="G100" s="339"/>
      <c r="H100" s="339"/>
      <c r="I100" s="339"/>
      <c r="J100" s="339"/>
      <c r="K100" s="339"/>
      <c r="L100" s="339"/>
      <c r="M100" s="339"/>
      <c r="N100" s="138" t="s">
        <v>342</v>
      </c>
      <c r="P100" s="26">
        <v>0.5</v>
      </c>
      <c r="R100" s="26">
        <v>0.4</v>
      </c>
      <c r="S100" s="26">
        <v>0.4</v>
      </c>
      <c r="T100" s="1"/>
      <c r="U100" s="24" t="s">
        <v>221</v>
      </c>
      <c r="AA100" s="54"/>
      <c r="AB100" s="54"/>
      <c r="AC100" s="54"/>
      <c r="AD100" s="54"/>
      <c r="AE100" s="54"/>
      <c r="AF100" s="54"/>
    </row>
    <row r="101" spans="1:32" ht="15" customHeight="1" thickBot="1" x14ac:dyDescent="0.25">
      <c r="A101" s="134" t="b">
        <v>0</v>
      </c>
      <c r="C101" s="304" t="s">
        <v>249</v>
      </c>
      <c r="D101" s="304"/>
      <c r="E101" s="304"/>
      <c r="F101" s="243"/>
      <c r="G101" s="243"/>
      <c r="H101" s="243"/>
      <c r="I101" s="243"/>
      <c r="J101" s="243"/>
      <c r="K101" s="243"/>
      <c r="L101" s="243"/>
      <c r="M101" s="243"/>
      <c r="N101" s="138"/>
      <c r="O101" s="26">
        <f>SUM(O105:O130)</f>
        <v>0</v>
      </c>
      <c r="P101" s="26" t="s">
        <v>196</v>
      </c>
      <c r="Q101" s="26" t="s">
        <v>196</v>
      </c>
      <c r="R101" s="26" t="s">
        <v>195</v>
      </c>
      <c r="S101" s="26" t="s">
        <v>195</v>
      </c>
      <c r="T101" s="1"/>
      <c r="U101" s="24" t="s">
        <v>223</v>
      </c>
      <c r="AA101" s="54"/>
      <c r="AB101" s="54">
        <f>ROW()</f>
        <v>101</v>
      </c>
      <c r="AC101" s="54">
        <v>6</v>
      </c>
      <c r="AD101" s="54">
        <v>130</v>
      </c>
      <c r="AE101" s="54">
        <f>AB101+1</f>
        <v>102</v>
      </c>
      <c r="AF101" s="54">
        <v>137</v>
      </c>
    </row>
    <row r="102" spans="1:32" ht="15" hidden="1" customHeight="1" x14ac:dyDescent="0.2">
      <c r="A102" s="28" t="s">
        <v>147</v>
      </c>
      <c r="C102" s="103" t="s">
        <v>160</v>
      </c>
      <c r="D102" s="9"/>
      <c r="E102" s="9"/>
      <c r="F102" s="125" t="s">
        <v>147</v>
      </c>
      <c r="G102" s="317"/>
      <c r="H102" s="317"/>
      <c r="I102" s="317"/>
      <c r="J102" s="317"/>
      <c r="K102" s="317"/>
      <c r="L102" s="317" t="s">
        <v>275</v>
      </c>
      <c r="M102" s="317"/>
      <c r="N102" s="136" t="str">
        <f>IF(COUNTA(D106:D130,D132)=0,"XXX","")</f>
        <v>XXX</v>
      </c>
      <c r="P102" s="26" t="s">
        <v>199</v>
      </c>
      <c r="Q102" s="26" t="s">
        <v>199</v>
      </c>
      <c r="R102" s="26" t="s">
        <v>450</v>
      </c>
      <c r="S102" s="26" t="s">
        <v>450</v>
      </c>
      <c r="T102" s="1"/>
      <c r="U102" s="24" t="s">
        <v>224</v>
      </c>
      <c r="AA102" s="54"/>
      <c r="AB102" s="54"/>
      <c r="AC102" s="54"/>
      <c r="AD102" s="54"/>
      <c r="AE102" s="54"/>
      <c r="AF102" s="54"/>
    </row>
    <row r="103" spans="1:32" ht="15" hidden="1" customHeight="1" x14ac:dyDescent="0.2">
      <c r="A103" s="28" t="s">
        <v>40</v>
      </c>
      <c r="C103" s="163" t="s">
        <v>161</v>
      </c>
      <c r="D103" s="163" t="s">
        <v>99</v>
      </c>
      <c r="E103" s="209" t="s">
        <v>100</v>
      </c>
      <c r="F103" s="163" t="s">
        <v>117</v>
      </c>
      <c r="G103" s="163" t="s">
        <v>176</v>
      </c>
      <c r="H103" s="209" t="s">
        <v>250</v>
      </c>
      <c r="I103" s="210"/>
      <c r="J103" s="195" t="s">
        <v>162</v>
      </c>
      <c r="K103" s="196"/>
      <c r="L103" s="197"/>
      <c r="M103" s="163" t="s">
        <v>254</v>
      </c>
      <c r="N103" s="138"/>
      <c r="P103" s="32" t="s">
        <v>205</v>
      </c>
      <c r="Q103" s="32" t="s">
        <v>205</v>
      </c>
      <c r="R103" s="32" t="s">
        <v>203</v>
      </c>
      <c r="S103" s="32" t="s">
        <v>203</v>
      </c>
      <c r="T103" s="1"/>
      <c r="U103" s="24" t="s">
        <v>225</v>
      </c>
      <c r="AA103" s="54"/>
      <c r="AB103" s="54"/>
      <c r="AC103" s="54"/>
      <c r="AD103" s="54"/>
      <c r="AE103" s="54"/>
      <c r="AF103" s="54"/>
    </row>
    <row r="104" spans="1:32" ht="15" hidden="1" customHeight="1" x14ac:dyDescent="0.2">
      <c r="A104" s="28" t="s">
        <v>251</v>
      </c>
      <c r="C104" s="207"/>
      <c r="D104" s="207"/>
      <c r="E104" s="267"/>
      <c r="F104" s="207"/>
      <c r="G104" s="207"/>
      <c r="H104" s="267"/>
      <c r="I104" s="268"/>
      <c r="J104" s="163" t="s">
        <v>163</v>
      </c>
      <c r="K104" s="50" t="s">
        <v>146</v>
      </c>
      <c r="L104" s="51"/>
      <c r="M104" s="207"/>
      <c r="N104" s="138"/>
      <c r="P104" s="32">
        <v>333</v>
      </c>
      <c r="Q104" s="32" t="s">
        <v>356</v>
      </c>
      <c r="R104" s="32"/>
      <c r="S104" s="32"/>
      <c r="T104" s="1"/>
      <c r="U104" s="24" t="s">
        <v>226</v>
      </c>
      <c r="AA104" s="54"/>
      <c r="AB104" s="54"/>
      <c r="AC104" s="54"/>
      <c r="AD104" s="54"/>
      <c r="AE104" s="54"/>
      <c r="AF104" s="54"/>
    </row>
    <row r="105" spans="1:32" ht="15" hidden="1" customHeight="1" x14ac:dyDescent="0.2">
      <c r="A105" s="28" t="s">
        <v>245</v>
      </c>
      <c r="C105" s="164"/>
      <c r="D105" s="164"/>
      <c r="E105" s="211"/>
      <c r="F105" s="164"/>
      <c r="G105" s="164"/>
      <c r="H105" s="211"/>
      <c r="I105" s="212"/>
      <c r="J105" s="164"/>
      <c r="K105" s="52"/>
      <c r="L105" s="53"/>
      <c r="M105" s="164"/>
      <c r="N105" s="138"/>
      <c r="P105" s="33" t="s">
        <v>210</v>
      </c>
      <c r="Q105" s="33" t="s">
        <v>210</v>
      </c>
      <c r="R105" s="33" t="s">
        <v>206</v>
      </c>
      <c r="S105" s="33" t="s">
        <v>206</v>
      </c>
      <c r="T105" s="1"/>
      <c r="U105" s="24" t="s">
        <v>227</v>
      </c>
      <c r="AA105" s="54"/>
      <c r="AB105" s="54"/>
      <c r="AC105" s="54"/>
      <c r="AD105" s="54"/>
      <c r="AE105" s="54"/>
      <c r="AF105" s="54"/>
    </row>
    <row r="106" spans="1:32" ht="15" hidden="1" customHeight="1" x14ac:dyDescent="0.2">
      <c r="C106" s="58" t="str">
        <f>IF(O106&gt;0,1,"")</f>
        <v/>
      </c>
      <c r="D106" s="114"/>
      <c r="E106" s="119"/>
      <c r="F106" s="118"/>
      <c r="G106" s="114"/>
      <c r="H106" s="327"/>
      <c r="I106" s="328"/>
      <c r="J106" s="122"/>
      <c r="K106" s="327"/>
      <c r="L106" s="328"/>
      <c r="M106" s="123"/>
      <c r="N106" s="138"/>
      <c r="O106" s="26">
        <f t="shared" ref="O106:O130" si="0">IF(COUNTA(D106:M106)=0,0,1)</f>
        <v>0</v>
      </c>
      <c r="P106" s="33">
        <v>333</v>
      </c>
      <c r="Q106" s="33" t="s">
        <v>363</v>
      </c>
      <c r="R106" s="33"/>
      <c r="S106" s="33"/>
      <c r="U106" s="24" t="s">
        <v>228</v>
      </c>
      <c r="AA106" s="54"/>
      <c r="AB106" s="54"/>
      <c r="AC106" s="54"/>
      <c r="AD106" s="54"/>
      <c r="AE106" s="54"/>
      <c r="AF106" s="54"/>
    </row>
    <row r="107" spans="1:32" ht="15" hidden="1" customHeight="1" x14ac:dyDescent="0.2">
      <c r="A107" s="28" t="s">
        <v>253</v>
      </c>
      <c r="C107" s="58" t="str">
        <f t="shared" ref="C107:C130" si="1">IF(O107&gt;0,1+C106,"")</f>
        <v/>
      </c>
      <c r="D107" s="114"/>
      <c r="E107" s="119"/>
      <c r="F107" s="118"/>
      <c r="G107" s="114"/>
      <c r="H107" s="327"/>
      <c r="I107" s="328"/>
      <c r="J107" s="122"/>
      <c r="K107" s="327"/>
      <c r="L107" s="328"/>
      <c r="M107" s="123"/>
      <c r="N107" s="138"/>
      <c r="O107" s="26">
        <f t="shared" si="0"/>
        <v>0</v>
      </c>
      <c r="AA107" s="54"/>
      <c r="AB107" s="54"/>
      <c r="AC107" s="54"/>
      <c r="AD107" s="54"/>
      <c r="AE107" s="54"/>
      <c r="AF107" s="54"/>
    </row>
    <row r="108" spans="1:32" ht="15" hidden="1" customHeight="1" x14ac:dyDescent="0.2">
      <c r="A108" s="28" t="s">
        <v>252</v>
      </c>
      <c r="C108" s="58" t="str">
        <f t="shared" si="1"/>
        <v/>
      </c>
      <c r="D108" s="114"/>
      <c r="E108" s="119"/>
      <c r="F108" s="118"/>
      <c r="G108" s="114"/>
      <c r="H108" s="327"/>
      <c r="I108" s="328"/>
      <c r="J108" s="122"/>
      <c r="K108" s="327"/>
      <c r="L108" s="328"/>
      <c r="M108" s="123"/>
      <c r="N108" s="138"/>
      <c r="O108" s="26">
        <f t="shared" si="0"/>
        <v>0</v>
      </c>
      <c r="P108" s="26" t="str">
        <f>IF(P84=TRUE,"SS",IF(P85=TRUE,IF(P97="RW","FC","TC"),IF(P97="RW","FW","TA")))</f>
        <v>TA</v>
      </c>
      <c r="Q108" s="26" t="str">
        <f>IF(Q84=TRUE,"SS",IF(Q85=TRUE,IF(Q97="RW","FC","TC"),IF(Q97="RW","FW","TA")))</f>
        <v>TA</v>
      </c>
      <c r="R108" s="26" t="str">
        <f>IF(R84=TRUE,"SS",IF(R85=TRUE,IF(R97="RW","FC","TC"),IF(R97="RW","FW","TA")))</f>
        <v>TC</v>
      </c>
      <c r="S108" s="26" t="str">
        <f>IF(S84=TRUE,"SS",IF(S85=TRUE,IF(S97="RW","FC","TC"),IF(S97="RW","FW","TA")))</f>
        <v>TC</v>
      </c>
      <c r="T108" s="2" t="s">
        <v>117</v>
      </c>
      <c r="AA108" s="54"/>
      <c r="AB108" s="54"/>
      <c r="AC108" s="54"/>
      <c r="AD108" s="54"/>
      <c r="AE108" s="54"/>
      <c r="AF108" s="54"/>
    </row>
    <row r="109" spans="1:32" ht="15" hidden="1" customHeight="1" x14ac:dyDescent="0.2">
      <c r="C109" s="58" t="str">
        <f t="shared" si="1"/>
        <v/>
      </c>
      <c r="D109" s="114"/>
      <c r="E109" s="119"/>
      <c r="F109" s="118"/>
      <c r="G109" s="114"/>
      <c r="H109" s="327"/>
      <c r="I109" s="328"/>
      <c r="J109" s="122"/>
      <c r="K109" s="327"/>
      <c r="L109" s="328"/>
      <c r="M109" s="123"/>
      <c r="N109" s="138"/>
      <c r="O109" s="26">
        <f t="shared" si="0"/>
        <v>0</v>
      </c>
      <c r="P109" s="26" t="str">
        <f>P87</f>
        <v>S</v>
      </c>
      <c r="Q109" s="26" t="str">
        <f>Q87</f>
        <v>U</v>
      </c>
      <c r="R109" s="26" t="str">
        <f>R87</f>
        <v>S</v>
      </c>
      <c r="S109" s="26" t="str">
        <f>S87</f>
        <v>S</v>
      </c>
      <c r="T109" s="2" t="s">
        <v>239</v>
      </c>
      <c r="AA109" s="54"/>
      <c r="AB109" s="54"/>
      <c r="AC109" s="54"/>
      <c r="AD109" s="54"/>
      <c r="AE109" s="54"/>
      <c r="AF109" s="54"/>
    </row>
    <row r="110" spans="1:32" ht="15" hidden="1" customHeight="1" x14ac:dyDescent="0.2">
      <c r="C110" s="58" t="str">
        <f t="shared" si="1"/>
        <v/>
      </c>
      <c r="D110" s="114"/>
      <c r="E110" s="119"/>
      <c r="F110" s="118"/>
      <c r="G110" s="114"/>
      <c r="H110" s="327"/>
      <c r="I110" s="328"/>
      <c r="J110" s="122"/>
      <c r="K110" s="327"/>
      <c r="L110" s="328"/>
      <c r="M110" s="123"/>
      <c r="N110" s="138"/>
      <c r="O110" s="26">
        <f t="shared" si="0"/>
        <v>0</v>
      </c>
      <c r="P110" s="26" t="str">
        <f>IF(P108="SS","",IF(P99="FRK","O",P99))</f>
        <v>V</v>
      </c>
      <c r="Q110" s="26" t="str">
        <f>IF(Q108="SS","",IF(Q99="FRK","O",Q99))</f>
        <v>Q</v>
      </c>
      <c r="R110" s="26" t="str">
        <f>IF(R108="SS","",IF(R99="FRK","O",R99))</f>
        <v>Q</v>
      </c>
      <c r="S110" s="26" t="str">
        <f>IF(S108="SS","",IF(S99="FRK","O",S99))</f>
        <v>Q</v>
      </c>
      <c r="T110" s="2" t="s">
        <v>232</v>
      </c>
      <c r="AA110" s="54"/>
      <c r="AB110" s="54"/>
      <c r="AC110" s="54"/>
      <c r="AD110" s="54"/>
      <c r="AE110" s="54"/>
      <c r="AF110" s="54"/>
    </row>
    <row r="111" spans="1:32" ht="15" hidden="1" customHeight="1" x14ac:dyDescent="0.2">
      <c r="C111" s="58" t="str">
        <f t="shared" si="1"/>
        <v/>
      </c>
      <c r="D111" s="114"/>
      <c r="E111" s="119"/>
      <c r="F111" s="118"/>
      <c r="G111" s="114"/>
      <c r="H111" s="327"/>
      <c r="I111" s="328"/>
      <c r="J111" s="122"/>
      <c r="K111" s="327"/>
      <c r="L111" s="328"/>
      <c r="M111" s="123"/>
      <c r="N111" s="138"/>
      <c r="O111" s="26">
        <f t="shared" si="0"/>
        <v>0</v>
      </c>
      <c r="P111" s="26">
        <f>P96</f>
        <v>60</v>
      </c>
      <c r="Q111" s="26">
        <f>Q96</f>
        <v>0</v>
      </c>
      <c r="R111" s="26" t="str">
        <f>R96</f>
        <v xml:space="preserve">50	</v>
      </c>
      <c r="S111" s="26">
        <f>S96</f>
        <v>50</v>
      </c>
      <c r="T111" s="2" t="s">
        <v>240</v>
      </c>
      <c r="AA111" s="54"/>
      <c r="AB111" s="54"/>
      <c r="AC111" s="54"/>
      <c r="AD111" s="54"/>
      <c r="AE111" s="54"/>
      <c r="AF111" s="54"/>
    </row>
    <row r="112" spans="1:32" ht="15" hidden="1" customHeight="1" x14ac:dyDescent="0.2">
      <c r="C112" s="58" t="str">
        <f t="shared" si="1"/>
        <v/>
      </c>
      <c r="D112" s="114"/>
      <c r="E112" s="119"/>
      <c r="F112" s="118"/>
      <c r="G112" s="114"/>
      <c r="H112" s="327"/>
      <c r="I112" s="328"/>
      <c r="J112" s="122"/>
      <c r="K112" s="327"/>
      <c r="L112" s="328"/>
      <c r="M112" s="123"/>
      <c r="N112" s="138"/>
      <c r="O112" s="26">
        <f t="shared" si="0"/>
        <v>0</v>
      </c>
      <c r="P112" s="26" t="str">
        <f>IF(AND(P89="Steel",LEFT(P90,1)="G"),"-GA"&amp;"("&amp;P90&amp;")-",IF(P89="Aluminum","-Alum-","-ZAS("&amp;P90&amp;")-"))</f>
        <v>-Alum-</v>
      </c>
      <c r="Q112" s="26" t="str">
        <f>IF(AND(Q89="Steel",LEFT(Q90,1)="G"),"-GA"&amp;"("&amp;Q90&amp;")-",IF(Q89="Aluminum","-Alum-","-ZAS("&amp;Q90&amp;")-"))</f>
        <v>-GA(G60)-</v>
      </c>
      <c r="R112" s="26" t="str">
        <f>IF(AND(R89="Steel",LEFT(R90,1)="G"),"-GA"&amp;"("&amp;R90&amp;")-",IF(R89="Aluminum","-Alum-","-ZAS("&amp;R90&amp;")-"))</f>
        <v>-ZAS(PPGI G60)-</v>
      </c>
      <c r="S112" s="26" t="str">
        <f>IF(AND(S89="Steel",LEFT(S90,1)="G"),"-GA"&amp;"("&amp;S90&amp;")-",IF(S89="Aluminum","-Alum-","-ZAS("&amp;S90&amp;")-"))</f>
        <v>-ZAS(PPGI G60)-</v>
      </c>
      <c r="T112" s="2" t="s">
        <v>239</v>
      </c>
      <c r="AA112" s="54"/>
      <c r="AB112" s="54"/>
      <c r="AC112" s="54"/>
      <c r="AD112" s="54"/>
      <c r="AE112" s="54"/>
      <c r="AF112" s="54"/>
    </row>
    <row r="113" spans="3:32" ht="15" hidden="1" customHeight="1" x14ac:dyDescent="0.2">
      <c r="C113" s="58" t="str">
        <f t="shared" si="1"/>
        <v/>
      </c>
      <c r="D113" s="114"/>
      <c r="E113" s="119"/>
      <c r="F113" s="118"/>
      <c r="G113" s="114"/>
      <c r="H113" s="327"/>
      <c r="I113" s="328"/>
      <c r="J113" s="122"/>
      <c r="K113" s="327"/>
      <c r="L113" s="328"/>
      <c r="M113" s="123"/>
      <c r="N113" s="138"/>
      <c r="O113" s="26">
        <f t="shared" si="0"/>
        <v>0</v>
      </c>
      <c r="P113" s="26" t="str">
        <f>IF(P99="FRK","",IF(AND(P101="Steel",LEFT(P102,1)="G"),"-GA"&amp;"("&amp;P102&amp;")-",IF(P101="Aluminum","-Alum-","-ZAS("&amp;P102&amp;")-")))</f>
        <v>-Alum-</v>
      </c>
      <c r="Q113" s="26" t="str">
        <f>IF(Q99="FRK","",IF(AND(Q101="Steel",LEFT(Q102,1)="G"),"-GA"&amp;"("&amp;Q102&amp;")-",IF(Q101="Aluminum","-Alum-","-ZAS("&amp;Q102&amp;")-")))</f>
        <v>-Alum-</v>
      </c>
      <c r="R113" s="26" t="str">
        <f>IF(R99="FRK","",IF(AND(R101="Steel",LEFT(R102,1)="G"),"-GA"&amp;"("&amp;R102&amp;")-",IF(R101="Aluminum","-Alum-","-ZAS("&amp;R102&amp;")-")))</f>
        <v>-ZAS(PPGI G60)-</v>
      </c>
      <c r="S113" s="26" t="str">
        <f>IF(S99="FRK","",IF(AND(S101="Steel",LEFT(S102,1)="G"),"-GA"&amp;"("&amp;S102&amp;")-",IF(S101="Aluminum","-Alum-","-ZAS("&amp;S102&amp;")-")))</f>
        <v>-ZAS(PPGI G60)-</v>
      </c>
      <c r="T113" s="2" t="s">
        <v>232</v>
      </c>
      <c r="AA113" s="54"/>
      <c r="AB113" s="54"/>
      <c r="AC113" s="54"/>
      <c r="AD113" s="54"/>
      <c r="AE113" s="54"/>
      <c r="AF113" s="54"/>
    </row>
    <row r="114" spans="3:32" ht="15" hidden="1" customHeight="1" x14ac:dyDescent="0.2">
      <c r="C114" s="58" t="str">
        <f t="shared" si="1"/>
        <v/>
      </c>
      <c r="D114" s="124"/>
      <c r="E114" s="119"/>
      <c r="F114" s="118"/>
      <c r="G114" s="114"/>
      <c r="H114" s="327"/>
      <c r="I114" s="328"/>
      <c r="J114" s="122"/>
      <c r="K114" s="327"/>
      <c r="L114" s="328"/>
      <c r="M114" s="123"/>
      <c r="N114" s="138"/>
      <c r="O114" s="26">
        <f t="shared" si="0"/>
        <v>0</v>
      </c>
      <c r="AA114" s="54"/>
      <c r="AB114" s="54"/>
      <c r="AC114" s="54"/>
      <c r="AD114" s="54"/>
      <c r="AE114" s="54"/>
      <c r="AF114" s="54"/>
    </row>
    <row r="115" spans="3:32" ht="15" hidden="1" customHeight="1" x14ac:dyDescent="0.2">
      <c r="C115" s="58" t="str">
        <f t="shared" si="1"/>
        <v/>
      </c>
      <c r="D115" s="114"/>
      <c r="E115" s="119"/>
      <c r="F115" s="118"/>
      <c r="G115" s="114"/>
      <c r="H115" s="327"/>
      <c r="I115" s="328"/>
      <c r="J115" s="122"/>
      <c r="K115" s="327"/>
      <c r="L115" s="328"/>
      <c r="M115" s="123"/>
      <c r="N115" s="138"/>
      <c r="O115" s="26">
        <f t="shared" si="0"/>
        <v>0</v>
      </c>
      <c r="P115" s="26">
        <f>IF(P99="FRK","",P100)</f>
        <v>0.5</v>
      </c>
      <c r="Q115" s="26">
        <f>IF(Q99="FRK","",Q100)</f>
        <v>0</v>
      </c>
      <c r="R115" s="26">
        <f>IF(R99="FRK","",R100)</f>
        <v>0.4</v>
      </c>
      <c r="S115" s="26">
        <f>IF(S99="FRK","",S100)</f>
        <v>0.4</v>
      </c>
      <c r="T115" s="2" t="s">
        <v>232</v>
      </c>
      <c r="AA115" s="54"/>
      <c r="AB115" s="54"/>
      <c r="AC115" s="54"/>
      <c r="AD115" s="54"/>
      <c r="AE115" s="54"/>
      <c r="AF115" s="54"/>
    </row>
    <row r="116" spans="3:32" ht="15" hidden="1" customHeight="1" x14ac:dyDescent="0.2">
      <c r="C116" s="58" t="str">
        <f t="shared" si="1"/>
        <v/>
      </c>
      <c r="D116" s="114"/>
      <c r="E116" s="119"/>
      <c r="F116" s="118"/>
      <c r="G116" s="114"/>
      <c r="H116" s="327"/>
      <c r="I116" s="328"/>
      <c r="J116" s="122"/>
      <c r="K116" s="327"/>
      <c r="L116" s="328"/>
      <c r="M116" s="123"/>
      <c r="N116" s="138"/>
      <c r="O116" s="26">
        <f t="shared" si="0"/>
        <v>0</v>
      </c>
      <c r="P116" s="26" t="str">
        <f>IF(P99="FRK","",P102&amp;"-")</f>
        <v>G60-</v>
      </c>
      <c r="Q116" s="26" t="str">
        <f>IF(Q99="FRK","",Q102&amp;"-")</f>
        <v>G60-</v>
      </c>
      <c r="R116" s="26" t="str">
        <f>IF(R99="FRK","",R102&amp;"-")</f>
        <v>PPGI G60-</v>
      </c>
      <c r="S116" s="26" t="str">
        <f>IF(S99="FRK","",S102&amp;"-")</f>
        <v>PPGI G60-</v>
      </c>
      <c r="T116" s="2" t="s">
        <v>232</v>
      </c>
      <c r="AA116" s="54"/>
      <c r="AB116" s="54"/>
      <c r="AC116" s="54"/>
      <c r="AD116" s="54"/>
      <c r="AE116" s="54"/>
      <c r="AF116" s="54"/>
    </row>
    <row r="117" spans="3:32" ht="15" hidden="1" customHeight="1" x14ac:dyDescent="0.2">
      <c r="C117" s="58" t="str">
        <f t="shared" si="1"/>
        <v/>
      </c>
      <c r="D117" s="114"/>
      <c r="E117" s="119"/>
      <c r="F117" s="118"/>
      <c r="G117" s="114"/>
      <c r="H117" s="327"/>
      <c r="I117" s="328"/>
      <c r="J117" s="122"/>
      <c r="K117" s="327"/>
      <c r="L117" s="328"/>
      <c r="M117" s="123"/>
      <c r="N117" s="138"/>
      <c r="O117" s="26">
        <f t="shared" si="0"/>
        <v>0</v>
      </c>
      <c r="AA117" s="54"/>
      <c r="AB117" s="54"/>
      <c r="AC117" s="54"/>
      <c r="AD117" s="54"/>
      <c r="AE117" s="54"/>
      <c r="AF117" s="54"/>
    </row>
    <row r="118" spans="3:32" ht="15" hidden="1" customHeight="1" x14ac:dyDescent="0.2">
      <c r="C118" s="58" t="str">
        <f t="shared" si="1"/>
        <v/>
      </c>
      <c r="D118" s="114"/>
      <c r="E118" s="119"/>
      <c r="F118" s="118"/>
      <c r="G118" s="114"/>
      <c r="H118" s="327"/>
      <c r="I118" s="328"/>
      <c r="J118" s="122"/>
      <c r="K118" s="327"/>
      <c r="L118" s="328"/>
      <c r="M118" s="123"/>
      <c r="N118" s="138"/>
      <c r="O118" s="26">
        <f t="shared" si="0"/>
        <v>0</v>
      </c>
      <c r="AA118" s="54"/>
      <c r="AB118" s="54"/>
      <c r="AC118" s="54"/>
      <c r="AD118" s="54"/>
      <c r="AE118" s="54"/>
      <c r="AF118" s="54"/>
    </row>
    <row r="119" spans="3:32" ht="15" hidden="1" customHeight="1" thickBot="1" x14ac:dyDescent="0.25">
      <c r="C119" s="58" t="str">
        <f t="shared" si="1"/>
        <v/>
      </c>
      <c r="D119" s="114"/>
      <c r="E119" s="119"/>
      <c r="F119" s="118"/>
      <c r="G119" s="114"/>
      <c r="H119" s="327"/>
      <c r="I119" s="328"/>
      <c r="J119" s="122"/>
      <c r="K119" s="327"/>
      <c r="L119" s="328"/>
      <c r="M119" s="123"/>
      <c r="N119" s="138"/>
      <c r="O119" s="26">
        <f t="shared" si="0"/>
        <v>0</v>
      </c>
      <c r="AA119" s="54"/>
      <c r="AB119" s="54"/>
      <c r="AC119" s="54"/>
      <c r="AD119" s="54"/>
      <c r="AE119" s="54"/>
      <c r="AF119" s="54"/>
    </row>
    <row r="120" spans="3:32" ht="15" hidden="1" customHeight="1" thickBot="1" x14ac:dyDescent="0.25">
      <c r="C120" s="58" t="str">
        <f t="shared" si="1"/>
        <v/>
      </c>
      <c r="D120" s="114"/>
      <c r="E120" s="119"/>
      <c r="F120" s="118"/>
      <c r="G120" s="114"/>
      <c r="H120" s="327"/>
      <c r="I120" s="328"/>
      <c r="J120" s="122"/>
      <c r="K120" s="327"/>
      <c r="L120" s="328"/>
      <c r="M120" s="123"/>
      <c r="N120" s="138"/>
      <c r="O120" s="26">
        <f t="shared" si="0"/>
        <v>0</v>
      </c>
      <c r="P120" s="46" t="str">
        <f>IF(P91="Special","SP("&amp;IF(P92="","See Remarks",P92)&amp;")",P91)</f>
        <v>SP(bb)</v>
      </c>
      <c r="Q120" s="46" t="str">
        <f>IF(Q91="Special","SP("&amp;IF(Q92="","See Remarks",Q92)&amp;")",Q91)</f>
        <v>SP(zz)</v>
      </c>
      <c r="R120" s="46" t="str">
        <f>IF(R91="Special","SP("&amp;IF(R92="","See Remarks",R92)&amp;")",R91)</f>
        <v>ZSP</v>
      </c>
      <c r="S120" s="46" t="str">
        <f>IF(S91="Special","SP("&amp;IF(S92="","See Remarks",S92)&amp;")",S91)</f>
        <v>ZSP</v>
      </c>
      <c r="AA120" s="54"/>
      <c r="AB120" s="54"/>
      <c r="AC120" s="54"/>
      <c r="AD120" s="54"/>
      <c r="AE120" s="54"/>
      <c r="AF120" s="54"/>
    </row>
    <row r="121" spans="3:32" ht="15" hidden="1" customHeight="1" x14ac:dyDescent="0.2">
      <c r="C121" s="58" t="str">
        <f t="shared" si="1"/>
        <v/>
      </c>
      <c r="D121" s="114"/>
      <c r="E121" s="119"/>
      <c r="F121" s="118"/>
      <c r="G121" s="114"/>
      <c r="H121" s="327"/>
      <c r="I121" s="328"/>
      <c r="J121" s="122"/>
      <c r="K121" s="327"/>
      <c r="L121" s="328"/>
      <c r="M121" s="123"/>
      <c r="N121" s="138"/>
      <c r="O121" s="26">
        <f t="shared" si="0"/>
        <v>0</v>
      </c>
      <c r="P121" s="34" t="str">
        <f>IF(P120="Bare","",IF(P93="Special Ral","-Ral "&amp;P94,"-"&amp;P93))</f>
        <v>-Ral nn</v>
      </c>
      <c r="Q121" s="34" t="str">
        <f>IF(Q120="Bare","",IF(Q93="Special Ral","-Ral "&amp;Q94,"-"&amp;Q93))</f>
        <v>-Ral xx</v>
      </c>
      <c r="R121" s="34" t="str">
        <f>IF(R120="Bare","",IF(R93="Special Ral","-Ral "&amp;R94,"-"&amp;R93))</f>
        <v>-FW</v>
      </c>
      <c r="S121" s="34" t="str">
        <f>IF(S120="Bare","",IF(S93="Special Ral","-Ral "&amp;S94,"-"&amp;S93))</f>
        <v>-FW</v>
      </c>
      <c r="AA121" s="54"/>
      <c r="AB121" s="54"/>
      <c r="AC121" s="54"/>
      <c r="AD121" s="54"/>
      <c r="AE121" s="54"/>
      <c r="AF121" s="54"/>
    </row>
    <row r="122" spans="3:32" ht="15" hidden="1" customHeight="1" x14ac:dyDescent="0.2">
      <c r="C122" s="58" t="str">
        <f t="shared" si="1"/>
        <v/>
      </c>
      <c r="D122" s="114"/>
      <c r="E122" s="119"/>
      <c r="F122" s="118"/>
      <c r="G122" s="114"/>
      <c r="H122" s="327"/>
      <c r="I122" s="328"/>
      <c r="J122" s="122"/>
      <c r="K122" s="327"/>
      <c r="L122" s="328"/>
      <c r="M122" s="123"/>
      <c r="N122" s="138"/>
      <c r="O122" s="26">
        <f t="shared" si="0"/>
        <v>0</v>
      </c>
      <c r="P122" s="32" t="str">
        <f>IF(P99="FRK","",IF(P103="Special","SP("&amp;IF(P104="","See Remarks",P104)&amp;")-",P103))</f>
        <v>SP(333)-</v>
      </c>
      <c r="Q122" s="32" t="str">
        <f>IF(Q99="FRK","",IF(Q103="Special","SP("&amp;IF(Q104="","See Remarks",Q104)&amp;")-",Q103))</f>
        <v>SP(cc)-</v>
      </c>
      <c r="R122" s="32" t="str">
        <f>IF(R99="FRK","",IF(R103="Special","SP("&amp;IF(R104="","See Remarks",R104)&amp;")-",R103))</f>
        <v>ZSP</v>
      </c>
      <c r="S122" s="32" t="str">
        <f>IF(S99="FRK","",IF(S103="Special","SP("&amp;IF(S104="","See Remarks",S104)&amp;")-",S103))</f>
        <v>ZSP</v>
      </c>
      <c r="AA122" s="54"/>
      <c r="AB122" s="54"/>
      <c r="AC122" s="54"/>
      <c r="AD122" s="54"/>
      <c r="AE122" s="54"/>
      <c r="AF122" s="54"/>
    </row>
    <row r="123" spans="3:32" ht="15" hidden="1" customHeight="1" x14ac:dyDescent="0.2">
      <c r="C123" s="58" t="str">
        <f t="shared" si="1"/>
        <v/>
      </c>
      <c r="D123" s="114"/>
      <c r="E123" s="119"/>
      <c r="F123" s="118"/>
      <c r="G123" s="114"/>
      <c r="H123" s="327"/>
      <c r="I123" s="328"/>
      <c r="J123" s="122"/>
      <c r="K123" s="327"/>
      <c r="L123" s="328"/>
      <c r="M123" s="123"/>
      <c r="N123" s="138"/>
      <c r="O123" s="26">
        <f t="shared" si="0"/>
        <v>0</v>
      </c>
      <c r="P123" s="33" t="str">
        <f>IF(P99="FRK","",IF(P122="Bare","",IF(P105="Special Ral","-Ral "&amp;P106,"-"&amp;P105)))</f>
        <v>-Ral 333</v>
      </c>
      <c r="Q123" s="33" t="str">
        <f>IF(Q99="FRK","",IF(Q122="Bare","",IF(Q105="Special Ral","-Ral "&amp;Q106,"-"&amp;Q105)))</f>
        <v>-Ral vv</v>
      </c>
      <c r="R123" s="33" t="str">
        <f>IF(R99="FRK","",IF(R122="Bare","",IF(R105="Special Ral","-Ral "&amp;R106,"-"&amp;R105)))</f>
        <v>-FW</v>
      </c>
      <c r="S123" s="33" t="str">
        <f>IF(S99="FRK","",IF(S122="Bare","",IF(S105="Special Ral","-Ral "&amp;S106,"-"&amp;S105)))</f>
        <v>-FW</v>
      </c>
      <c r="AA123" s="54"/>
      <c r="AB123" s="54"/>
      <c r="AC123" s="54"/>
      <c r="AD123" s="54"/>
      <c r="AE123" s="54"/>
      <c r="AF123" s="54"/>
    </row>
    <row r="124" spans="3:32" ht="15" hidden="1" customHeight="1" x14ac:dyDescent="0.2">
      <c r="C124" s="58" t="str">
        <f t="shared" si="1"/>
        <v/>
      </c>
      <c r="D124" s="114"/>
      <c r="E124" s="119"/>
      <c r="F124" s="118"/>
      <c r="G124" s="114"/>
      <c r="H124" s="327"/>
      <c r="I124" s="328"/>
      <c r="J124" s="122"/>
      <c r="K124" s="327"/>
      <c r="L124" s="328"/>
      <c r="M124" s="123"/>
      <c r="N124" s="138"/>
      <c r="O124" s="26">
        <f t="shared" si="0"/>
        <v>0</v>
      </c>
      <c r="P124" s="29" t="str">
        <f>IF(P108="SS","SS: "&amp;P87&amp;P112&amp;P120&amp;"-"&amp;P88&amp;P121,P108&amp;P87&amp;P110&amp;P96&amp;": "&amp;P87&amp;P112&amp;P120&amp;"-"&amp;P88&amp;P121&amp;" , "&amp;P99&amp;P113&amp;P122&amp;"-"&amp;P115&amp;P123&amp;" , "&amp;P111&amp;"mm "&amp;P97&amp;" Core")</f>
        <v>TASV60: S-Alum-SP(bb)-0.7-Ral nn , V-Alum-SP(333)--0.5-Ral 333 , 60mm PIR Core</v>
      </c>
      <c r="Q124" s="29" t="str">
        <f>IF(Q108="SS","SS: "&amp;Q87&amp;Q112&amp;Q120&amp;"-"&amp;Q88&amp;Q121,Q108&amp;Q87&amp;Q110&amp;Q96&amp;": "&amp;Q87&amp;Q112&amp;Q120&amp;"-"&amp;Q88&amp;Q121&amp;" , "&amp;Q99&amp;Q113&amp;Q122&amp;"-"&amp;Q115&amp;Q123&amp;" , "&amp;Q111&amp;"mm "&amp;Q97&amp;" Core")</f>
        <v>TAUQ: U-GA(G60)-SP(zz)-0.5-Ral xx , Q-Alum-SP(cc)--0-Ral vv , 0mm PUR Core</v>
      </c>
      <c r="R124" s="29" t="str">
        <f>IF(R108="SS","SS: "&amp;R87&amp;R112&amp;R120&amp;"-"&amp;R88&amp;R121,R108&amp;R87&amp;R110&amp;R96&amp;": "&amp;R87&amp;R112&amp;R120&amp;"-"&amp;R88&amp;R121&amp;" , "&amp;R99&amp;R113&amp;R122&amp;"-"&amp;R115&amp;R123&amp;" , "&amp;R111&amp;"mm "&amp;R97&amp;" Core")</f>
        <v>TCSQ50	: S-ZAS(PPGI G60)-ZSP-0.5-FW , Q-ZAS(PPGI G60)-ZSP-0.4-FW , 50	mm PIR Core</v>
      </c>
      <c r="S124" s="29" t="str">
        <f>IF(S108="SS","SS: "&amp;S87&amp;S112&amp;S120&amp;"-"&amp;S88&amp;S121,S108&amp;S87&amp;S110&amp;S96&amp;": "&amp;S87&amp;S112&amp;S120&amp;"-"&amp;S88&amp;S121&amp;" , "&amp;S99&amp;S113&amp;S122&amp;"-"&amp;S115&amp;S123&amp;" , "&amp;S111&amp;"mm "&amp;S97&amp;" Core")</f>
        <v>TCSQ50: S-ZAS(PPGI G60)-ZSP-0.5-FW , Q-ZAS(PPGI G60)-ZSP-0.4-FW , 50mm PIR Core</v>
      </c>
      <c r="AA124" s="54"/>
      <c r="AB124" s="54"/>
      <c r="AC124" s="54"/>
      <c r="AD124" s="54"/>
      <c r="AE124" s="54"/>
      <c r="AF124" s="54"/>
    </row>
    <row r="125" spans="3:32" ht="15" hidden="1" customHeight="1" x14ac:dyDescent="0.2">
      <c r="C125" s="58" t="str">
        <f t="shared" si="1"/>
        <v/>
      </c>
      <c r="D125" s="114"/>
      <c r="E125" s="119"/>
      <c r="F125" s="118"/>
      <c r="G125" s="114"/>
      <c r="H125" s="327"/>
      <c r="I125" s="328"/>
      <c r="J125" s="122"/>
      <c r="K125" s="327"/>
      <c r="L125" s="328"/>
      <c r="M125" s="123"/>
      <c r="N125" s="138"/>
      <c r="O125" s="26">
        <f t="shared" si="0"/>
        <v>0</v>
      </c>
      <c r="Q125" s="27"/>
      <c r="AA125" s="54"/>
      <c r="AB125" s="54"/>
      <c r="AC125" s="54"/>
      <c r="AD125" s="54"/>
      <c r="AE125" s="54"/>
      <c r="AF125" s="54"/>
    </row>
    <row r="126" spans="3:32" ht="15" hidden="1" customHeight="1" x14ac:dyDescent="0.2">
      <c r="C126" s="58" t="str">
        <f t="shared" si="1"/>
        <v/>
      </c>
      <c r="D126" s="114"/>
      <c r="E126" s="119"/>
      <c r="F126" s="118"/>
      <c r="G126" s="114"/>
      <c r="H126" s="327"/>
      <c r="I126" s="328"/>
      <c r="J126" s="122"/>
      <c r="K126" s="327"/>
      <c r="L126" s="328"/>
      <c r="M126" s="123"/>
      <c r="N126" s="138"/>
      <c r="O126" s="26">
        <f t="shared" si="0"/>
        <v>0</v>
      </c>
      <c r="AA126" s="54"/>
      <c r="AB126" s="54"/>
      <c r="AC126" s="54"/>
      <c r="AD126" s="54"/>
      <c r="AE126" s="54"/>
      <c r="AF126" s="54"/>
    </row>
    <row r="127" spans="3:32" ht="15" hidden="1" customHeight="1" x14ac:dyDescent="0.2">
      <c r="C127" s="58" t="str">
        <f t="shared" si="1"/>
        <v/>
      </c>
      <c r="D127" s="114"/>
      <c r="E127" s="119"/>
      <c r="F127" s="118"/>
      <c r="G127" s="114"/>
      <c r="H127" s="327"/>
      <c r="I127" s="328"/>
      <c r="J127" s="122"/>
      <c r="K127" s="327"/>
      <c r="L127" s="328"/>
      <c r="M127" s="123"/>
      <c r="N127" s="138"/>
      <c r="O127" s="26">
        <f t="shared" si="0"/>
        <v>0</v>
      </c>
      <c r="AA127" s="54"/>
      <c r="AB127" s="54"/>
      <c r="AC127" s="54"/>
      <c r="AD127" s="54"/>
      <c r="AE127" s="54"/>
      <c r="AF127" s="54"/>
    </row>
    <row r="128" spans="3:32" ht="15" hidden="1" customHeight="1" x14ac:dyDescent="0.2">
      <c r="C128" s="58" t="str">
        <f t="shared" si="1"/>
        <v/>
      </c>
      <c r="D128" s="114"/>
      <c r="E128" s="119"/>
      <c r="F128" s="118"/>
      <c r="G128" s="114"/>
      <c r="H128" s="327"/>
      <c r="I128" s="328"/>
      <c r="J128" s="122"/>
      <c r="K128" s="327"/>
      <c r="L128" s="328"/>
      <c r="M128" s="123"/>
      <c r="N128" s="138"/>
      <c r="O128" s="26">
        <f t="shared" si="0"/>
        <v>0</v>
      </c>
      <c r="AA128" s="54"/>
      <c r="AB128" s="54"/>
      <c r="AC128" s="54"/>
      <c r="AD128" s="54"/>
      <c r="AE128" s="54"/>
      <c r="AF128" s="54"/>
    </row>
    <row r="129" spans="1:32" ht="15" hidden="1" customHeight="1" x14ac:dyDescent="0.2">
      <c r="C129" s="58" t="str">
        <f t="shared" si="1"/>
        <v/>
      </c>
      <c r="D129" s="114"/>
      <c r="E129" s="119"/>
      <c r="F129" s="118"/>
      <c r="G129" s="114"/>
      <c r="H129" s="327"/>
      <c r="I129" s="328"/>
      <c r="J129" s="122"/>
      <c r="K129" s="327"/>
      <c r="L129" s="328"/>
      <c r="M129" s="123"/>
      <c r="N129" s="138"/>
      <c r="O129" s="26">
        <f t="shared" si="0"/>
        <v>0</v>
      </c>
      <c r="P129" s="2"/>
      <c r="Q129" s="2"/>
      <c r="R129" s="2"/>
      <c r="S129" s="2"/>
      <c r="AA129" s="54"/>
      <c r="AB129" s="54"/>
      <c r="AC129" s="54"/>
      <c r="AD129" s="54"/>
      <c r="AE129" s="54"/>
      <c r="AF129" s="54"/>
    </row>
    <row r="130" spans="1:32" ht="15" hidden="1" customHeight="1" x14ac:dyDescent="0.2">
      <c r="A130" s="28" t="s">
        <v>147</v>
      </c>
      <c r="C130" s="58" t="str">
        <f t="shared" si="1"/>
        <v/>
      </c>
      <c r="D130" s="114"/>
      <c r="E130" s="119"/>
      <c r="F130" s="118"/>
      <c r="G130" s="114"/>
      <c r="H130" s="327"/>
      <c r="I130" s="328"/>
      <c r="J130" s="122"/>
      <c r="K130" s="327"/>
      <c r="L130" s="328"/>
      <c r="M130" s="123"/>
      <c r="N130" s="138"/>
      <c r="O130" s="26">
        <f t="shared" si="0"/>
        <v>0</v>
      </c>
      <c r="P130" s="2"/>
      <c r="Q130" s="2"/>
      <c r="R130" s="2"/>
      <c r="S130" s="2"/>
      <c r="AA130" s="54"/>
      <c r="AB130" s="54"/>
      <c r="AC130" s="54"/>
      <c r="AD130" s="54"/>
      <c r="AE130" s="54"/>
      <c r="AF130" s="54"/>
    </row>
    <row r="131" spans="1:32" ht="15" hidden="1" customHeight="1" x14ac:dyDescent="0.2">
      <c r="A131" s="28" t="s">
        <v>40</v>
      </c>
      <c r="C131" s="331"/>
      <c r="D131" s="331"/>
      <c r="E131" s="331"/>
      <c r="F131" s="331"/>
      <c r="G131" s="331"/>
      <c r="H131" s="331"/>
      <c r="I131" s="331"/>
      <c r="J131" s="331"/>
      <c r="K131" s="331"/>
      <c r="L131" s="331"/>
      <c r="M131" s="331"/>
      <c r="N131" s="138"/>
      <c r="P131" s="2"/>
      <c r="Q131" s="2"/>
      <c r="R131" s="2"/>
      <c r="S131" s="2"/>
      <c r="AA131" s="54"/>
      <c r="AB131" s="54"/>
      <c r="AC131" s="54"/>
      <c r="AD131" s="54"/>
      <c r="AE131" s="54"/>
      <c r="AF131" s="54"/>
    </row>
    <row r="132" spans="1:32" ht="15" hidden="1" customHeight="1" x14ac:dyDescent="0.2">
      <c r="A132" s="28" t="s">
        <v>155</v>
      </c>
      <c r="C132" s="20" t="s">
        <v>125</v>
      </c>
      <c r="D132" s="286"/>
      <c r="E132" s="287"/>
      <c r="F132" s="287"/>
      <c r="G132" s="287"/>
      <c r="H132" s="287"/>
      <c r="I132" s="287"/>
      <c r="J132" s="287"/>
      <c r="K132" s="287"/>
      <c r="L132" s="287"/>
      <c r="M132" s="288"/>
      <c r="N132" s="138"/>
      <c r="P132" s="2"/>
      <c r="Q132" s="2"/>
      <c r="R132" s="2"/>
      <c r="S132" s="2"/>
      <c r="AA132" s="54"/>
      <c r="AB132" s="54"/>
      <c r="AC132" s="54"/>
      <c r="AD132" s="54"/>
      <c r="AE132" s="54"/>
      <c r="AF132" s="54"/>
    </row>
    <row r="133" spans="1:32" ht="15" hidden="1" customHeight="1" x14ac:dyDescent="0.2">
      <c r="C133" s="295"/>
      <c r="D133" s="289"/>
      <c r="E133" s="290"/>
      <c r="F133" s="290"/>
      <c r="G133" s="290"/>
      <c r="H133" s="290"/>
      <c r="I133" s="290"/>
      <c r="J133" s="290"/>
      <c r="K133" s="290"/>
      <c r="L133" s="290"/>
      <c r="M133" s="291"/>
      <c r="N133" s="138"/>
      <c r="P133" s="2"/>
      <c r="Q133" s="2"/>
      <c r="R133" s="2"/>
      <c r="S133" s="2"/>
      <c r="AA133" s="54"/>
      <c r="AB133" s="54"/>
      <c r="AC133" s="54"/>
      <c r="AD133" s="54"/>
      <c r="AE133" s="54"/>
      <c r="AF133" s="54"/>
    </row>
    <row r="134" spans="1:32" ht="15" hidden="1" customHeight="1" x14ac:dyDescent="0.2">
      <c r="C134" s="295"/>
      <c r="D134" s="289"/>
      <c r="E134" s="290"/>
      <c r="F134" s="290"/>
      <c r="G134" s="290"/>
      <c r="H134" s="290"/>
      <c r="I134" s="290"/>
      <c r="J134" s="290"/>
      <c r="K134" s="290"/>
      <c r="L134" s="290"/>
      <c r="M134" s="291"/>
      <c r="N134" s="138"/>
      <c r="P134" s="2"/>
      <c r="Q134" s="2"/>
      <c r="R134" s="2"/>
      <c r="S134" s="2"/>
      <c r="T134" s="26"/>
      <c r="AA134" s="54"/>
      <c r="AB134" s="54"/>
      <c r="AC134" s="54"/>
      <c r="AD134" s="54"/>
      <c r="AE134" s="54"/>
      <c r="AF134" s="54"/>
    </row>
    <row r="135" spans="1:32" ht="15" hidden="1" customHeight="1" x14ac:dyDescent="0.2">
      <c r="C135" s="295"/>
      <c r="D135" s="289"/>
      <c r="E135" s="290"/>
      <c r="F135" s="290"/>
      <c r="G135" s="290"/>
      <c r="H135" s="290"/>
      <c r="I135" s="290"/>
      <c r="J135" s="290"/>
      <c r="K135" s="290"/>
      <c r="L135" s="290"/>
      <c r="M135" s="291"/>
      <c r="N135" s="138"/>
      <c r="P135" s="2"/>
      <c r="Q135" s="2"/>
      <c r="R135" s="2"/>
      <c r="S135" s="2"/>
      <c r="AA135" s="54"/>
      <c r="AB135" s="54"/>
      <c r="AC135" s="54"/>
      <c r="AD135" s="54"/>
      <c r="AE135" s="54"/>
      <c r="AF135" s="54"/>
    </row>
    <row r="136" spans="1:32" ht="15" hidden="1" customHeight="1" x14ac:dyDescent="0.2">
      <c r="C136" s="295"/>
      <c r="D136" s="292"/>
      <c r="E136" s="293"/>
      <c r="F136" s="293"/>
      <c r="G136" s="293"/>
      <c r="H136" s="293"/>
      <c r="I136" s="293"/>
      <c r="J136" s="293"/>
      <c r="K136" s="293"/>
      <c r="L136" s="293"/>
      <c r="M136" s="294"/>
      <c r="N136" s="138"/>
      <c r="P136" s="2"/>
      <c r="Q136" s="2"/>
      <c r="R136" s="2"/>
      <c r="S136" s="2"/>
      <c r="AA136" s="54"/>
      <c r="AB136" s="54"/>
      <c r="AC136" s="54"/>
      <c r="AD136" s="54"/>
      <c r="AE136" s="54"/>
      <c r="AF136" s="54"/>
    </row>
    <row r="137" spans="1:32" ht="15" hidden="1" customHeight="1" thickBot="1" x14ac:dyDescent="0.25">
      <c r="C137" s="296"/>
      <c r="D137" s="296"/>
      <c r="E137" s="296"/>
      <c r="F137" s="296"/>
      <c r="G137" s="296"/>
      <c r="H137" s="296"/>
      <c r="I137" s="296"/>
      <c r="J137" s="296"/>
      <c r="K137" s="296"/>
      <c r="L137" s="296"/>
      <c r="M137" s="296"/>
      <c r="N137" s="138"/>
      <c r="P137" s="2"/>
      <c r="Q137" s="2"/>
      <c r="R137" s="2"/>
      <c r="S137" s="2"/>
      <c r="AA137" s="54"/>
      <c r="AB137" s="54"/>
      <c r="AC137" s="54"/>
      <c r="AD137" s="54"/>
      <c r="AE137" s="54"/>
      <c r="AF137" s="54"/>
    </row>
    <row r="138" spans="1:32" ht="15" hidden="1" customHeight="1" thickBot="1" x14ac:dyDescent="0.25">
      <c r="C138" s="159"/>
      <c r="D138" s="159"/>
      <c r="E138" s="159"/>
      <c r="F138" s="159"/>
      <c r="G138" s="159"/>
      <c r="H138" s="159"/>
      <c r="I138" s="159"/>
      <c r="J138" s="159"/>
      <c r="K138" s="159"/>
      <c r="L138" s="159"/>
      <c r="M138" s="159"/>
      <c r="N138" s="138"/>
      <c r="P138" s="2"/>
      <c r="Q138" s="2"/>
      <c r="R138" s="2"/>
      <c r="S138" s="2"/>
      <c r="AA138" s="54"/>
      <c r="AB138" s="54"/>
      <c r="AC138" s="54"/>
      <c r="AD138" s="54"/>
      <c r="AE138" s="54"/>
      <c r="AF138" s="54"/>
    </row>
    <row r="139" spans="1:32" ht="15" customHeight="1" thickBot="1" x14ac:dyDescent="0.25">
      <c r="A139" s="134" t="b">
        <v>0</v>
      </c>
      <c r="C139" s="304" t="s">
        <v>168</v>
      </c>
      <c r="D139" s="304"/>
      <c r="E139" s="304"/>
      <c r="F139" s="243"/>
      <c r="G139" s="243"/>
      <c r="H139" s="243"/>
      <c r="I139" s="243"/>
      <c r="J139" s="243"/>
      <c r="K139" s="243"/>
      <c r="L139" s="243"/>
      <c r="M139" s="243"/>
      <c r="N139" s="138"/>
      <c r="O139" s="26">
        <f>SUM(O143:O168)</f>
        <v>0</v>
      </c>
      <c r="P139" s="2"/>
      <c r="Q139" s="2"/>
      <c r="R139" s="2"/>
      <c r="S139" s="2"/>
      <c r="AA139" s="54"/>
      <c r="AB139" s="54">
        <f>ROW()</f>
        <v>139</v>
      </c>
      <c r="AC139" s="54">
        <v>5</v>
      </c>
      <c r="AD139" s="54">
        <v>168</v>
      </c>
      <c r="AE139" s="54">
        <v>140</v>
      </c>
      <c r="AF139" s="54">
        <v>175</v>
      </c>
    </row>
    <row r="140" spans="1:32" ht="15" hidden="1" customHeight="1" x14ac:dyDescent="0.2">
      <c r="C140" s="316" t="s">
        <v>174</v>
      </c>
      <c r="D140" s="316"/>
      <c r="E140" s="316"/>
      <c r="F140" s="115" t="s">
        <v>40</v>
      </c>
      <c r="G140" s="317"/>
      <c r="H140" s="317"/>
      <c r="I140" s="317"/>
      <c r="J140" s="317"/>
      <c r="K140" s="317"/>
      <c r="L140" s="317" t="s">
        <v>275</v>
      </c>
      <c r="M140" s="317"/>
      <c r="N140" s="136" t="str">
        <f>IF(COUNTA(D143:D168,D170)=0,"XXX","")</f>
        <v>XXX</v>
      </c>
      <c r="P140" s="2"/>
      <c r="Q140" s="2"/>
      <c r="R140" s="2"/>
      <c r="S140" s="2"/>
      <c r="AA140" s="54"/>
      <c r="AB140" s="54"/>
      <c r="AC140" s="54"/>
      <c r="AD140" s="54"/>
      <c r="AE140" s="54"/>
      <c r="AF140" s="54"/>
    </row>
    <row r="141" spans="1:32" ht="15" hidden="1" customHeight="1" x14ac:dyDescent="0.2">
      <c r="C141" s="163" t="s">
        <v>161</v>
      </c>
      <c r="D141" s="163" t="s">
        <v>99</v>
      </c>
      <c r="E141" s="163" t="s">
        <v>100</v>
      </c>
      <c r="F141" s="163" t="s">
        <v>170</v>
      </c>
      <c r="G141" s="163" t="s">
        <v>169</v>
      </c>
      <c r="H141" s="163" t="s">
        <v>171</v>
      </c>
      <c r="I141" s="163" t="s">
        <v>169</v>
      </c>
      <c r="J141" s="163" t="s">
        <v>173</v>
      </c>
      <c r="K141" s="163" t="s">
        <v>172</v>
      </c>
      <c r="L141" s="209" t="s">
        <v>45</v>
      </c>
      <c r="M141" s="259"/>
      <c r="N141" s="138"/>
      <c r="P141" s="2"/>
      <c r="Q141" s="2"/>
      <c r="R141" s="2"/>
      <c r="S141" s="2"/>
      <c r="AA141" s="54"/>
      <c r="AB141" s="54"/>
      <c r="AC141" s="54"/>
      <c r="AD141" s="54"/>
      <c r="AE141" s="54"/>
      <c r="AF141" s="54"/>
    </row>
    <row r="142" spans="1:32" ht="15" hidden="1" customHeight="1" x14ac:dyDescent="0.2">
      <c r="C142" s="164"/>
      <c r="D142" s="164"/>
      <c r="E142" s="164"/>
      <c r="F142" s="164"/>
      <c r="G142" s="164"/>
      <c r="H142" s="164"/>
      <c r="I142" s="164"/>
      <c r="J142" s="164"/>
      <c r="K142" s="164"/>
      <c r="L142" s="211"/>
      <c r="M142" s="260"/>
      <c r="N142" s="138"/>
      <c r="P142" s="2"/>
      <c r="Q142" s="2"/>
      <c r="R142" s="2"/>
      <c r="S142" s="2"/>
      <c r="AA142" s="54"/>
      <c r="AB142" s="54"/>
      <c r="AC142" s="54"/>
      <c r="AD142" s="54"/>
      <c r="AE142" s="54"/>
      <c r="AF142" s="54"/>
    </row>
    <row r="143" spans="1:32" ht="15" hidden="1" customHeight="1" x14ac:dyDescent="0.2">
      <c r="A143" s="28" t="s">
        <v>255</v>
      </c>
      <c r="C143" s="58" t="str">
        <f>IF(O143&gt;0,1,"")</f>
        <v/>
      </c>
      <c r="D143" s="118"/>
      <c r="E143" s="118"/>
      <c r="F143" s="118"/>
      <c r="G143" s="118"/>
      <c r="H143" s="118"/>
      <c r="I143" s="118"/>
      <c r="J143" s="118"/>
      <c r="K143" s="121"/>
      <c r="L143" s="333"/>
      <c r="M143" s="334"/>
      <c r="N143" s="138"/>
      <c r="O143" s="26">
        <f t="shared" ref="O143:O168" si="2">IF(COUNTA(D143:M143)=0,0,1)</f>
        <v>0</v>
      </c>
      <c r="P143" s="2"/>
      <c r="Q143" s="2"/>
      <c r="R143" s="2"/>
      <c r="S143" s="2"/>
      <c r="AA143" s="54"/>
      <c r="AB143" s="54"/>
      <c r="AC143" s="54"/>
      <c r="AD143" s="54"/>
      <c r="AE143" s="54"/>
      <c r="AF143" s="54"/>
    </row>
    <row r="144" spans="1:32" ht="15" hidden="1" customHeight="1" x14ac:dyDescent="0.2">
      <c r="A144" s="28" t="s">
        <v>256</v>
      </c>
      <c r="C144" s="58" t="str">
        <f t="shared" ref="C144:C168" si="3">IF(O144&gt;0,1+C143,"")</f>
        <v/>
      </c>
      <c r="D144" s="118"/>
      <c r="E144" s="118"/>
      <c r="F144" s="118"/>
      <c r="G144" s="118"/>
      <c r="H144" s="118"/>
      <c r="I144" s="118"/>
      <c r="J144" s="118"/>
      <c r="K144" s="118"/>
      <c r="L144" s="327"/>
      <c r="M144" s="328"/>
      <c r="N144" s="138"/>
      <c r="O144" s="26">
        <f t="shared" si="2"/>
        <v>0</v>
      </c>
      <c r="P144" s="2"/>
      <c r="Q144" s="2"/>
      <c r="R144" s="2"/>
      <c r="S144" s="2"/>
      <c r="AA144" s="54"/>
      <c r="AB144" s="54"/>
      <c r="AC144" s="54"/>
      <c r="AD144" s="54"/>
      <c r="AE144" s="54"/>
      <c r="AF144" s="54"/>
    </row>
    <row r="145" spans="1:32" ht="15" hidden="1" customHeight="1" x14ac:dyDescent="0.2">
      <c r="A145" s="28" t="s">
        <v>257</v>
      </c>
      <c r="C145" s="58" t="str">
        <f t="shared" si="3"/>
        <v/>
      </c>
      <c r="D145" s="118"/>
      <c r="E145" s="118"/>
      <c r="F145" s="118"/>
      <c r="G145" s="118"/>
      <c r="H145" s="118"/>
      <c r="I145" s="118"/>
      <c r="J145" s="118"/>
      <c r="K145" s="118"/>
      <c r="L145" s="327"/>
      <c r="M145" s="328"/>
      <c r="N145" s="138"/>
      <c r="O145" s="26">
        <f t="shared" si="2"/>
        <v>0</v>
      </c>
      <c r="P145" s="2"/>
      <c r="Q145" s="2"/>
      <c r="R145" s="2"/>
      <c r="S145" s="2"/>
      <c r="AA145" s="54"/>
      <c r="AB145" s="54"/>
      <c r="AC145" s="54"/>
      <c r="AD145" s="54"/>
      <c r="AE145" s="54"/>
      <c r="AF145" s="54"/>
    </row>
    <row r="146" spans="1:32" ht="15" hidden="1" customHeight="1" x14ac:dyDescent="0.2">
      <c r="C146" s="58" t="str">
        <f t="shared" si="3"/>
        <v/>
      </c>
      <c r="D146" s="118"/>
      <c r="E146" s="118"/>
      <c r="F146" s="118"/>
      <c r="G146" s="118"/>
      <c r="H146" s="118"/>
      <c r="I146" s="118"/>
      <c r="J146" s="118"/>
      <c r="K146" s="118"/>
      <c r="L146" s="327"/>
      <c r="M146" s="328"/>
      <c r="N146" s="138"/>
      <c r="O146" s="26">
        <f t="shared" si="2"/>
        <v>0</v>
      </c>
      <c r="P146" s="27" t="s">
        <v>154</v>
      </c>
      <c r="AA146" s="54"/>
      <c r="AB146" s="54"/>
      <c r="AC146" s="54"/>
      <c r="AD146" s="54"/>
      <c r="AE146" s="54"/>
      <c r="AF146" s="54"/>
    </row>
    <row r="147" spans="1:32" ht="15" hidden="1" customHeight="1" x14ac:dyDescent="0.2">
      <c r="C147" s="58" t="str">
        <f t="shared" si="3"/>
        <v/>
      </c>
      <c r="D147" s="118"/>
      <c r="E147" s="118"/>
      <c r="F147" s="118"/>
      <c r="G147" s="118"/>
      <c r="H147" s="118"/>
      <c r="I147" s="118"/>
      <c r="J147" s="118"/>
      <c r="K147" s="118"/>
      <c r="L147" s="327"/>
      <c r="M147" s="328"/>
      <c r="N147" s="138"/>
      <c r="O147" s="26">
        <f t="shared" si="2"/>
        <v>0</v>
      </c>
      <c r="P147" s="39"/>
      <c r="AA147" s="54"/>
      <c r="AB147" s="54"/>
      <c r="AC147" s="54"/>
      <c r="AD147" s="54"/>
      <c r="AE147" s="54"/>
      <c r="AF147" s="54"/>
    </row>
    <row r="148" spans="1:32" ht="15" hidden="1" customHeight="1" x14ac:dyDescent="0.2">
      <c r="C148" s="58" t="str">
        <f t="shared" si="3"/>
        <v/>
      </c>
      <c r="D148" s="118"/>
      <c r="E148" s="118"/>
      <c r="F148" s="118"/>
      <c r="G148" s="118"/>
      <c r="H148" s="118"/>
      <c r="I148" s="118"/>
      <c r="J148" s="118"/>
      <c r="K148" s="118"/>
      <c r="L148" s="327"/>
      <c r="M148" s="328"/>
      <c r="N148" s="138"/>
      <c r="O148" s="26">
        <f t="shared" si="2"/>
        <v>0</v>
      </c>
      <c r="P148" s="39"/>
      <c r="R148" s="26" t="str">
        <f>S124</f>
        <v>TCSQ50: S-ZAS(PPGI G60)-ZSP-0.5-FW , Q-ZAS(PPGI G60)-ZSP-0.4-FW , 50mm PIR Core</v>
      </c>
      <c r="AA148" s="54"/>
      <c r="AB148" s="54"/>
      <c r="AC148" s="54"/>
      <c r="AD148" s="54"/>
      <c r="AE148" s="54"/>
      <c r="AF148" s="54"/>
    </row>
    <row r="149" spans="1:32" ht="15" hidden="1" customHeight="1" x14ac:dyDescent="0.2">
      <c r="C149" s="58" t="str">
        <f t="shared" si="3"/>
        <v/>
      </c>
      <c r="D149" s="118"/>
      <c r="E149" s="118"/>
      <c r="F149" s="118"/>
      <c r="G149" s="118"/>
      <c r="H149" s="118"/>
      <c r="I149" s="118"/>
      <c r="J149" s="118"/>
      <c r="K149" s="118"/>
      <c r="L149" s="327"/>
      <c r="M149" s="328"/>
      <c r="N149" s="138"/>
      <c r="O149" s="26">
        <f t="shared" si="2"/>
        <v>0</v>
      </c>
      <c r="P149" s="39"/>
      <c r="AA149" s="54"/>
      <c r="AB149" s="54"/>
      <c r="AC149" s="54"/>
      <c r="AD149" s="54"/>
      <c r="AE149" s="54"/>
      <c r="AF149" s="54"/>
    </row>
    <row r="150" spans="1:32" ht="15" hidden="1" customHeight="1" x14ac:dyDescent="0.2">
      <c r="C150" s="58" t="str">
        <f t="shared" si="3"/>
        <v/>
      </c>
      <c r="D150" s="118"/>
      <c r="E150" s="118"/>
      <c r="F150" s="118"/>
      <c r="G150" s="118"/>
      <c r="H150" s="118"/>
      <c r="I150" s="118"/>
      <c r="J150" s="118"/>
      <c r="K150" s="118"/>
      <c r="L150" s="327"/>
      <c r="M150" s="328"/>
      <c r="N150" s="138"/>
      <c r="O150" s="26">
        <f t="shared" si="2"/>
        <v>0</v>
      </c>
      <c r="P150" s="39"/>
      <c r="AA150" s="54"/>
      <c r="AB150" s="54"/>
      <c r="AC150" s="54"/>
      <c r="AD150" s="54"/>
      <c r="AE150" s="54"/>
      <c r="AF150" s="54"/>
    </row>
    <row r="151" spans="1:32" ht="15" hidden="1" customHeight="1" x14ac:dyDescent="0.2">
      <c r="C151" s="58" t="str">
        <f t="shared" si="3"/>
        <v/>
      </c>
      <c r="D151" s="118"/>
      <c r="E151" s="118"/>
      <c r="F151" s="118"/>
      <c r="G151" s="118"/>
      <c r="H151" s="118"/>
      <c r="I151" s="118"/>
      <c r="J151" s="118"/>
      <c r="K151" s="118"/>
      <c r="L151" s="327"/>
      <c r="M151" s="328"/>
      <c r="N151" s="138"/>
      <c r="O151" s="26">
        <f t="shared" si="2"/>
        <v>0</v>
      </c>
      <c r="P151" s="39"/>
      <c r="AA151" s="54"/>
      <c r="AB151" s="54"/>
      <c r="AC151" s="54"/>
      <c r="AD151" s="54"/>
      <c r="AE151" s="54"/>
      <c r="AF151" s="54"/>
    </row>
    <row r="152" spans="1:32" ht="15" hidden="1" customHeight="1" x14ac:dyDescent="0.2">
      <c r="C152" s="58" t="str">
        <f t="shared" si="3"/>
        <v/>
      </c>
      <c r="D152" s="118"/>
      <c r="E152" s="118"/>
      <c r="F152" s="118"/>
      <c r="G152" s="118"/>
      <c r="H152" s="118"/>
      <c r="I152" s="118"/>
      <c r="J152" s="118"/>
      <c r="K152" s="118"/>
      <c r="L152" s="327"/>
      <c r="M152" s="328"/>
      <c r="N152" s="138"/>
      <c r="O152" s="26">
        <f t="shared" si="2"/>
        <v>0</v>
      </c>
      <c r="P152" s="39"/>
      <c r="AA152" s="54"/>
      <c r="AB152" s="54"/>
      <c r="AC152" s="54"/>
      <c r="AD152" s="54"/>
      <c r="AE152" s="54"/>
      <c r="AF152" s="54"/>
    </row>
    <row r="153" spans="1:32" ht="15" hidden="1" customHeight="1" x14ac:dyDescent="0.2">
      <c r="C153" s="58" t="str">
        <f t="shared" si="3"/>
        <v/>
      </c>
      <c r="D153" s="118"/>
      <c r="E153" s="118"/>
      <c r="F153" s="118"/>
      <c r="G153" s="118"/>
      <c r="H153" s="118"/>
      <c r="I153" s="118"/>
      <c r="J153" s="118"/>
      <c r="K153" s="118"/>
      <c r="L153" s="327"/>
      <c r="M153" s="328"/>
      <c r="N153" s="138"/>
      <c r="O153" s="26">
        <f t="shared" si="2"/>
        <v>0</v>
      </c>
      <c r="P153" s="39"/>
      <c r="AA153" s="54"/>
      <c r="AB153" s="54"/>
      <c r="AC153" s="54"/>
      <c r="AD153" s="54"/>
      <c r="AE153" s="54"/>
      <c r="AF153" s="54"/>
    </row>
    <row r="154" spans="1:32" ht="15" hidden="1" customHeight="1" x14ac:dyDescent="0.2">
      <c r="C154" s="58" t="str">
        <f t="shared" si="3"/>
        <v/>
      </c>
      <c r="D154" s="118"/>
      <c r="E154" s="118"/>
      <c r="F154" s="118"/>
      <c r="G154" s="118"/>
      <c r="H154" s="118"/>
      <c r="I154" s="118"/>
      <c r="J154" s="118"/>
      <c r="K154" s="118"/>
      <c r="L154" s="327"/>
      <c r="M154" s="328"/>
      <c r="N154" s="138"/>
      <c r="O154" s="26">
        <f t="shared" si="2"/>
        <v>0</v>
      </c>
      <c r="P154" s="39"/>
      <c r="AA154" s="54"/>
      <c r="AB154" s="54"/>
      <c r="AC154" s="54"/>
      <c r="AD154" s="54"/>
      <c r="AE154" s="54"/>
      <c r="AF154" s="54"/>
    </row>
    <row r="155" spans="1:32" ht="15" hidden="1" customHeight="1" x14ac:dyDescent="0.2">
      <c r="C155" s="58" t="str">
        <f t="shared" si="3"/>
        <v/>
      </c>
      <c r="D155" s="118"/>
      <c r="E155" s="118"/>
      <c r="F155" s="118"/>
      <c r="G155" s="118"/>
      <c r="H155" s="118"/>
      <c r="I155" s="118"/>
      <c r="J155" s="118"/>
      <c r="K155" s="118"/>
      <c r="L155" s="327"/>
      <c r="M155" s="328"/>
      <c r="N155" s="138"/>
      <c r="O155" s="26">
        <f t="shared" si="2"/>
        <v>0</v>
      </c>
      <c r="P155" s="39"/>
      <c r="AA155" s="54"/>
      <c r="AB155" s="54"/>
      <c r="AC155" s="54"/>
      <c r="AD155" s="54"/>
      <c r="AE155" s="54"/>
      <c r="AF155" s="54"/>
    </row>
    <row r="156" spans="1:32" ht="15" hidden="1" customHeight="1" x14ac:dyDescent="0.2">
      <c r="C156" s="58" t="str">
        <f t="shared" si="3"/>
        <v/>
      </c>
      <c r="D156" s="118"/>
      <c r="E156" s="118"/>
      <c r="F156" s="118"/>
      <c r="G156" s="118"/>
      <c r="H156" s="118"/>
      <c r="I156" s="118"/>
      <c r="J156" s="118"/>
      <c r="K156" s="118"/>
      <c r="L156" s="327"/>
      <c r="M156" s="328"/>
      <c r="N156" s="138"/>
      <c r="O156" s="26">
        <f t="shared" si="2"/>
        <v>0</v>
      </c>
      <c r="P156" s="39"/>
      <c r="AA156" s="54"/>
      <c r="AB156" s="54"/>
      <c r="AC156" s="54"/>
      <c r="AD156" s="54"/>
      <c r="AE156" s="54"/>
      <c r="AF156" s="54"/>
    </row>
    <row r="157" spans="1:32" ht="15" hidden="1" customHeight="1" x14ac:dyDescent="0.2">
      <c r="C157" s="58" t="str">
        <f t="shared" si="3"/>
        <v/>
      </c>
      <c r="D157" s="118"/>
      <c r="E157" s="118"/>
      <c r="F157" s="118"/>
      <c r="G157" s="118"/>
      <c r="H157" s="118"/>
      <c r="I157" s="118"/>
      <c r="J157" s="118"/>
      <c r="K157" s="118"/>
      <c r="L157" s="327"/>
      <c r="M157" s="328"/>
      <c r="N157" s="138"/>
      <c r="O157" s="26">
        <f t="shared" si="2"/>
        <v>0</v>
      </c>
      <c r="P157" s="39"/>
      <c r="AA157" s="54"/>
      <c r="AB157" s="54"/>
      <c r="AC157" s="54"/>
      <c r="AD157" s="54"/>
      <c r="AE157" s="54"/>
      <c r="AF157" s="54"/>
    </row>
    <row r="158" spans="1:32" ht="15" hidden="1" customHeight="1" x14ac:dyDescent="0.2">
      <c r="C158" s="58" t="str">
        <f t="shared" si="3"/>
        <v/>
      </c>
      <c r="D158" s="118"/>
      <c r="E158" s="118"/>
      <c r="F158" s="118"/>
      <c r="G158" s="118"/>
      <c r="H158" s="118"/>
      <c r="I158" s="118"/>
      <c r="J158" s="118"/>
      <c r="K158" s="118"/>
      <c r="L158" s="327"/>
      <c r="M158" s="328"/>
      <c r="N158" s="138"/>
      <c r="O158" s="26">
        <f t="shared" si="2"/>
        <v>0</v>
      </c>
      <c r="P158" s="39"/>
      <c r="AA158" s="54"/>
      <c r="AB158" s="54"/>
      <c r="AC158" s="54"/>
      <c r="AD158" s="54"/>
      <c r="AE158" s="54"/>
      <c r="AF158" s="54"/>
    </row>
    <row r="159" spans="1:32" ht="15" hidden="1" customHeight="1" x14ac:dyDescent="0.2">
      <c r="C159" s="58" t="str">
        <f t="shared" si="3"/>
        <v/>
      </c>
      <c r="D159" s="118"/>
      <c r="E159" s="118"/>
      <c r="F159" s="118"/>
      <c r="G159" s="118"/>
      <c r="H159" s="118"/>
      <c r="I159" s="118"/>
      <c r="J159" s="118"/>
      <c r="K159" s="118"/>
      <c r="L159" s="327"/>
      <c r="M159" s="328"/>
      <c r="N159" s="138"/>
      <c r="O159" s="26">
        <f t="shared" si="2"/>
        <v>0</v>
      </c>
      <c r="P159" s="39"/>
      <c r="AA159" s="54"/>
      <c r="AB159" s="54"/>
      <c r="AC159" s="54"/>
      <c r="AD159" s="54"/>
      <c r="AE159" s="54"/>
      <c r="AF159" s="54"/>
    </row>
    <row r="160" spans="1:32" ht="15" hidden="1" customHeight="1" x14ac:dyDescent="0.2">
      <c r="C160" s="58" t="str">
        <f t="shared" si="3"/>
        <v/>
      </c>
      <c r="D160" s="118"/>
      <c r="E160" s="118"/>
      <c r="F160" s="118"/>
      <c r="G160" s="118"/>
      <c r="H160" s="118"/>
      <c r="I160" s="118"/>
      <c r="J160" s="118"/>
      <c r="K160" s="118"/>
      <c r="L160" s="327"/>
      <c r="M160" s="328"/>
      <c r="N160" s="138"/>
      <c r="O160" s="26">
        <f t="shared" si="2"/>
        <v>0</v>
      </c>
      <c r="P160" s="39"/>
      <c r="AA160" s="54"/>
      <c r="AB160" s="54"/>
      <c r="AC160" s="54"/>
      <c r="AD160" s="54"/>
      <c r="AE160" s="54"/>
      <c r="AF160" s="54"/>
    </row>
    <row r="161" spans="1:32" ht="15" hidden="1" customHeight="1" x14ac:dyDescent="0.2">
      <c r="C161" s="58" t="str">
        <f t="shared" si="3"/>
        <v/>
      </c>
      <c r="D161" s="118"/>
      <c r="E161" s="118"/>
      <c r="F161" s="118"/>
      <c r="G161" s="118"/>
      <c r="H161" s="118"/>
      <c r="I161" s="118"/>
      <c r="J161" s="118"/>
      <c r="K161" s="118"/>
      <c r="L161" s="327"/>
      <c r="M161" s="328"/>
      <c r="N161" s="138"/>
      <c r="O161" s="26">
        <f t="shared" si="2"/>
        <v>0</v>
      </c>
      <c r="P161" s="39"/>
      <c r="AA161" s="54"/>
      <c r="AB161" s="54"/>
      <c r="AC161" s="54"/>
      <c r="AD161" s="54"/>
      <c r="AE161" s="54"/>
      <c r="AF161" s="54"/>
    </row>
    <row r="162" spans="1:32" ht="15" hidden="1" customHeight="1" x14ac:dyDescent="0.2">
      <c r="C162" s="58" t="str">
        <f t="shared" si="3"/>
        <v/>
      </c>
      <c r="D162" s="118"/>
      <c r="E162" s="118"/>
      <c r="F162" s="118"/>
      <c r="G162" s="118"/>
      <c r="H162" s="118"/>
      <c r="I162" s="118"/>
      <c r="J162" s="118"/>
      <c r="K162" s="118"/>
      <c r="L162" s="327"/>
      <c r="M162" s="328"/>
      <c r="N162" s="138"/>
      <c r="O162" s="26">
        <f t="shared" si="2"/>
        <v>0</v>
      </c>
      <c r="P162" s="39"/>
      <c r="AA162" s="54"/>
      <c r="AB162" s="54"/>
      <c r="AC162" s="54"/>
      <c r="AD162" s="54"/>
      <c r="AE162" s="54"/>
      <c r="AF162" s="54"/>
    </row>
    <row r="163" spans="1:32" ht="15" hidden="1" customHeight="1" x14ac:dyDescent="0.2">
      <c r="C163" s="58" t="str">
        <f t="shared" si="3"/>
        <v/>
      </c>
      <c r="D163" s="118"/>
      <c r="E163" s="118"/>
      <c r="F163" s="118"/>
      <c r="G163" s="118"/>
      <c r="H163" s="118"/>
      <c r="I163" s="118"/>
      <c r="J163" s="118"/>
      <c r="K163" s="118"/>
      <c r="L163" s="327"/>
      <c r="M163" s="328"/>
      <c r="N163" s="138"/>
      <c r="O163" s="26">
        <f t="shared" si="2"/>
        <v>0</v>
      </c>
      <c r="P163" s="39"/>
      <c r="AA163" s="54"/>
      <c r="AB163" s="54"/>
      <c r="AC163" s="54"/>
      <c r="AD163" s="54"/>
      <c r="AE163" s="54"/>
      <c r="AF163" s="54"/>
    </row>
    <row r="164" spans="1:32" ht="15" hidden="1" customHeight="1" x14ac:dyDescent="0.2">
      <c r="C164" s="58" t="str">
        <f t="shared" si="3"/>
        <v/>
      </c>
      <c r="D164" s="118"/>
      <c r="E164" s="118"/>
      <c r="F164" s="118"/>
      <c r="G164" s="118"/>
      <c r="H164" s="118"/>
      <c r="I164" s="118"/>
      <c r="J164" s="118"/>
      <c r="K164" s="118"/>
      <c r="L164" s="327"/>
      <c r="M164" s="328"/>
      <c r="N164" s="138"/>
      <c r="O164" s="26">
        <f t="shared" si="2"/>
        <v>0</v>
      </c>
      <c r="P164" s="39"/>
      <c r="AA164" s="54"/>
      <c r="AB164" s="54"/>
      <c r="AC164" s="54"/>
      <c r="AD164" s="54"/>
      <c r="AE164" s="54"/>
      <c r="AF164" s="54"/>
    </row>
    <row r="165" spans="1:32" ht="15" hidden="1" customHeight="1" x14ac:dyDescent="0.2">
      <c r="C165" s="58" t="str">
        <f t="shared" si="3"/>
        <v/>
      </c>
      <c r="D165" s="118"/>
      <c r="E165" s="118"/>
      <c r="F165" s="118"/>
      <c r="G165" s="118"/>
      <c r="H165" s="118"/>
      <c r="I165" s="118"/>
      <c r="J165" s="118"/>
      <c r="K165" s="118"/>
      <c r="L165" s="327"/>
      <c r="M165" s="328"/>
      <c r="N165" s="138"/>
      <c r="O165" s="26">
        <f t="shared" si="2"/>
        <v>0</v>
      </c>
      <c r="P165" s="39"/>
      <c r="AA165" s="54"/>
      <c r="AB165" s="54"/>
      <c r="AC165" s="54"/>
      <c r="AD165" s="54"/>
      <c r="AE165" s="54"/>
      <c r="AF165" s="54"/>
    </row>
    <row r="166" spans="1:32" ht="15" hidden="1" customHeight="1" x14ac:dyDescent="0.2">
      <c r="C166" s="58" t="str">
        <f t="shared" si="3"/>
        <v/>
      </c>
      <c r="D166" s="118"/>
      <c r="E166" s="118"/>
      <c r="F166" s="118"/>
      <c r="G166" s="118"/>
      <c r="H166" s="118"/>
      <c r="I166" s="118"/>
      <c r="J166" s="118"/>
      <c r="K166" s="118"/>
      <c r="L166" s="327"/>
      <c r="M166" s="328"/>
      <c r="N166" s="138"/>
      <c r="O166" s="26">
        <f t="shared" si="2"/>
        <v>0</v>
      </c>
      <c r="P166" s="39"/>
      <c r="AA166" s="54"/>
      <c r="AB166" s="54"/>
      <c r="AC166" s="54"/>
      <c r="AD166" s="54"/>
      <c r="AE166" s="54"/>
      <c r="AF166" s="54"/>
    </row>
    <row r="167" spans="1:32" ht="15" hidden="1" customHeight="1" x14ac:dyDescent="0.2">
      <c r="C167" s="58" t="str">
        <f t="shared" si="3"/>
        <v/>
      </c>
      <c r="D167" s="118"/>
      <c r="E167" s="118"/>
      <c r="F167" s="118"/>
      <c r="G167" s="118"/>
      <c r="H167" s="118"/>
      <c r="I167" s="118"/>
      <c r="J167" s="118"/>
      <c r="K167" s="118"/>
      <c r="L167" s="327"/>
      <c r="M167" s="328"/>
      <c r="N167" s="138"/>
      <c r="O167" s="26">
        <f t="shared" si="2"/>
        <v>0</v>
      </c>
      <c r="AA167" s="54"/>
      <c r="AB167" s="54"/>
      <c r="AC167" s="54"/>
      <c r="AD167" s="54"/>
      <c r="AE167" s="54"/>
      <c r="AF167" s="54"/>
    </row>
    <row r="168" spans="1:32" ht="15" hidden="1" customHeight="1" x14ac:dyDescent="0.2">
      <c r="C168" s="58" t="str">
        <f t="shared" si="3"/>
        <v/>
      </c>
      <c r="D168" s="118"/>
      <c r="E168" s="118"/>
      <c r="F168" s="118"/>
      <c r="G168" s="118"/>
      <c r="H168" s="118"/>
      <c r="I168" s="118"/>
      <c r="J168" s="118"/>
      <c r="K168" s="118"/>
      <c r="L168" s="327"/>
      <c r="M168" s="328"/>
      <c r="N168" s="138"/>
      <c r="O168" s="26">
        <f t="shared" si="2"/>
        <v>0</v>
      </c>
      <c r="R168" s="2"/>
      <c r="AA168" s="54"/>
      <c r="AB168" s="54"/>
      <c r="AC168" s="54"/>
      <c r="AD168" s="54"/>
      <c r="AE168" s="54"/>
      <c r="AF168" s="54"/>
    </row>
    <row r="169" spans="1:32" ht="15" hidden="1" customHeight="1" x14ac:dyDescent="0.2">
      <c r="A169" s="28" t="s">
        <v>258</v>
      </c>
      <c r="C169" s="331"/>
      <c r="D169" s="331"/>
      <c r="E169" s="331"/>
      <c r="F169" s="331"/>
      <c r="G169" s="331"/>
      <c r="H169" s="331"/>
      <c r="I169" s="331"/>
      <c r="J169" s="331"/>
      <c r="K169" s="331"/>
      <c r="L169" s="331"/>
      <c r="M169" s="331"/>
      <c r="N169" s="138"/>
      <c r="AA169" s="54"/>
      <c r="AB169" s="54"/>
      <c r="AC169" s="54"/>
      <c r="AD169" s="54"/>
      <c r="AE169" s="54"/>
      <c r="AF169" s="54"/>
    </row>
    <row r="170" spans="1:32" ht="15" hidden="1" customHeight="1" x14ac:dyDescent="0.2">
      <c r="A170" s="28" t="s">
        <v>259</v>
      </c>
      <c r="C170" s="20" t="s">
        <v>125</v>
      </c>
      <c r="D170" s="286"/>
      <c r="E170" s="287"/>
      <c r="F170" s="287"/>
      <c r="G170" s="287"/>
      <c r="H170" s="287"/>
      <c r="I170" s="287"/>
      <c r="J170" s="287"/>
      <c r="K170" s="287"/>
      <c r="L170" s="287"/>
      <c r="M170" s="288"/>
      <c r="N170" s="138"/>
      <c r="AA170" s="54"/>
      <c r="AB170" s="54"/>
      <c r="AC170" s="54"/>
      <c r="AD170" s="54"/>
      <c r="AE170" s="54"/>
      <c r="AF170" s="54"/>
    </row>
    <row r="171" spans="1:32" ht="15" hidden="1" customHeight="1" x14ac:dyDescent="0.2">
      <c r="A171" s="28" t="s">
        <v>260</v>
      </c>
      <c r="C171" s="295"/>
      <c r="D171" s="289"/>
      <c r="E171" s="290"/>
      <c r="F171" s="290"/>
      <c r="G171" s="290"/>
      <c r="H171" s="290"/>
      <c r="I171" s="290"/>
      <c r="J171" s="290"/>
      <c r="K171" s="290"/>
      <c r="L171" s="290"/>
      <c r="M171" s="291"/>
      <c r="N171" s="138"/>
      <c r="AA171" s="54"/>
      <c r="AB171" s="54"/>
      <c r="AC171" s="54"/>
      <c r="AD171" s="54"/>
      <c r="AE171" s="54"/>
      <c r="AF171" s="54"/>
    </row>
    <row r="172" spans="1:32" ht="15" hidden="1" customHeight="1" x14ac:dyDescent="0.2">
      <c r="A172" s="28" t="s">
        <v>261</v>
      </c>
      <c r="C172" s="295"/>
      <c r="D172" s="289"/>
      <c r="E172" s="290"/>
      <c r="F172" s="290"/>
      <c r="G172" s="290"/>
      <c r="H172" s="290"/>
      <c r="I172" s="290"/>
      <c r="J172" s="290"/>
      <c r="K172" s="290"/>
      <c r="L172" s="290"/>
      <c r="M172" s="291"/>
      <c r="N172" s="138"/>
      <c r="AA172" s="54"/>
      <c r="AB172" s="54"/>
      <c r="AC172" s="54"/>
      <c r="AD172" s="54"/>
      <c r="AE172" s="54"/>
      <c r="AF172" s="54"/>
    </row>
    <row r="173" spans="1:32" ht="15" hidden="1" customHeight="1" x14ac:dyDescent="0.2">
      <c r="A173" s="28" t="s">
        <v>262</v>
      </c>
      <c r="C173" s="295"/>
      <c r="D173" s="289"/>
      <c r="E173" s="290"/>
      <c r="F173" s="290"/>
      <c r="G173" s="290"/>
      <c r="H173" s="290"/>
      <c r="I173" s="290"/>
      <c r="J173" s="290"/>
      <c r="K173" s="290"/>
      <c r="L173" s="290"/>
      <c r="M173" s="291"/>
      <c r="N173" s="138"/>
      <c r="AA173" s="54"/>
      <c r="AB173" s="54"/>
      <c r="AC173" s="54"/>
      <c r="AD173" s="54"/>
      <c r="AE173" s="54"/>
      <c r="AF173" s="54"/>
    </row>
    <row r="174" spans="1:32" ht="15" hidden="1" customHeight="1" x14ac:dyDescent="0.2">
      <c r="C174" s="295"/>
      <c r="D174" s="292"/>
      <c r="E174" s="293"/>
      <c r="F174" s="293"/>
      <c r="G174" s="293"/>
      <c r="H174" s="293"/>
      <c r="I174" s="293"/>
      <c r="J174" s="293"/>
      <c r="K174" s="293"/>
      <c r="L174" s="293"/>
      <c r="M174" s="294"/>
      <c r="N174" s="138"/>
      <c r="AA174" s="54"/>
      <c r="AB174" s="54"/>
      <c r="AC174" s="54"/>
      <c r="AD174" s="54"/>
      <c r="AE174" s="54"/>
      <c r="AF174" s="54"/>
    </row>
    <row r="175" spans="1:32" ht="15" hidden="1" customHeight="1" thickBot="1" x14ac:dyDescent="0.25">
      <c r="C175" s="296"/>
      <c r="D175" s="296"/>
      <c r="E175" s="296"/>
      <c r="F175" s="296"/>
      <c r="G175" s="296"/>
      <c r="H175" s="296"/>
      <c r="I175" s="296"/>
      <c r="J175" s="296"/>
      <c r="K175" s="296"/>
      <c r="L175" s="296"/>
      <c r="M175" s="296"/>
      <c r="N175" s="138"/>
      <c r="AA175" s="54"/>
      <c r="AB175" s="54"/>
      <c r="AC175" s="54"/>
      <c r="AD175" s="54"/>
      <c r="AE175" s="54"/>
      <c r="AF175" s="54"/>
    </row>
    <row r="176" spans="1:32" ht="15" hidden="1" customHeight="1" thickBot="1" x14ac:dyDescent="0.25">
      <c r="C176" s="159"/>
      <c r="D176" s="159"/>
      <c r="E176" s="159"/>
      <c r="F176" s="159"/>
      <c r="G176" s="159"/>
      <c r="H176" s="159"/>
      <c r="I176" s="159"/>
      <c r="J176" s="159"/>
      <c r="K176" s="159"/>
      <c r="L176" s="159"/>
      <c r="M176" s="159"/>
      <c r="N176" s="138"/>
      <c r="AA176" s="54"/>
      <c r="AB176" s="54"/>
      <c r="AC176" s="54"/>
      <c r="AD176" s="54"/>
      <c r="AE176" s="54"/>
      <c r="AF176" s="54"/>
    </row>
    <row r="177" spans="1:32" ht="15" customHeight="1" thickBot="1" x14ac:dyDescent="0.25">
      <c r="A177" s="134" t="b">
        <v>0</v>
      </c>
      <c r="C177" s="304" t="s">
        <v>263</v>
      </c>
      <c r="D177" s="304"/>
      <c r="E177" s="304"/>
      <c r="F177" s="243"/>
      <c r="G177" s="243"/>
      <c r="H177" s="243"/>
      <c r="I177" s="243"/>
      <c r="J177" s="243"/>
      <c r="K177" s="243"/>
      <c r="L177" s="243"/>
      <c r="M177" s="243"/>
      <c r="N177" s="138"/>
      <c r="O177" s="26">
        <f>SUM(O181:O220)</f>
        <v>0</v>
      </c>
      <c r="AA177" s="54"/>
      <c r="AB177" s="54">
        <f>ROW()</f>
        <v>177</v>
      </c>
      <c r="AC177" s="54">
        <v>5</v>
      </c>
      <c r="AD177" s="54">
        <f>AB177+43</f>
        <v>220</v>
      </c>
      <c r="AE177" s="54">
        <f>AB177+1</f>
        <v>178</v>
      </c>
      <c r="AF177" s="54">
        <f>AB177+50</f>
        <v>227</v>
      </c>
    </row>
    <row r="178" spans="1:32" ht="15" hidden="1" customHeight="1" x14ac:dyDescent="0.2">
      <c r="C178" s="316" t="s">
        <v>175</v>
      </c>
      <c r="D178" s="316"/>
      <c r="E178" s="316"/>
      <c r="F178" s="133" t="s">
        <v>147</v>
      </c>
      <c r="G178" s="317"/>
      <c r="H178" s="317"/>
      <c r="I178" s="317"/>
      <c r="J178" s="317"/>
      <c r="K178" s="317"/>
      <c r="L178" s="317" t="s">
        <v>275</v>
      </c>
      <c r="M178" s="317"/>
      <c r="N178" s="136" t="str">
        <f>IF(COUNTA(D181:D220,D222)=0,"XXX","")</f>
        <v>XXX</v>
      </c>
      <c r="AA178" s="54"/>
      <c r="AB178" s="54"/>
      <c r="AC178" s="54"/>
      <c r="AD178" s="54"/>
      <c r="AE178" s="54"/>
      <c r="AF178" s="54"/>
    </row>
    <row r="179" spans="1:32" ht="15" hidden="1" customHeight="1" x14ac:dyDescent="0.2">
      <c r="C179" s="163" t="s">
        <v>161</v>
      </c>
      <c r="D179" s="163" t="s">
        <v>99</v>
      </c>
      <c r="E179" s="163" t="s">
        <v>176</v>
      </c>
      <c r="F179" s="163" t="s">
        <v>170</v>
      </c>
      <c r="G179" s="163" t="s">
        <v>169</v>
      </c>
      <c r="H179" s="163" t="s">
        <v>177</v>
      </c>
      <c r="I179" s="163" t="s">
        <v>169</v>
      </c>
      <c r="J179" s="163" t="s">
        <v>173</v>
      </c>
      <c r="K179" s="163" t="s">
        <v>172</v>
      </c>
      <c r="L179" s="209" t="s">
        <v>45</v>
      </c>
      <c r="M179" s="259"/>
      <c r="N179" s="138"/>
      <c r="AA179" s="54"/>
      <c r="AB179" s="54"/>
      <c r="AC179" s="54"/>
      <c r="AD179" s="54"/>
      <c r="AE179" s="54"/>
      <c r="AF179" s="54"/>
    </row>
    <row r="180" spans="1:32" ht="15" hidden="1" customHeight="1" x14ac:dyDescent="0.2">
      <c r="C180" s="164"/>
      <c r="D180" s="164"/>
      <c r="E180" s="164"/>
      <c r="F180" s="164"/>
      <c r="G180" s="164"/>
      <c r="H180" s="164"/>
      <c r="I180" s="164"/>
      <c r="J180" s="164"/>
      <c r="K180" s="164"/>
      <c r="L180" s="211"/>
      <c r="M180" s="260"/>
      <c r="N180" s="138"/>
      <c r="AA180" s="54"/>
      <c r="AB180" s="54"/>
      <c r="AC180" s="54"/>
      <c r="AD180" s="54"/>
      <c r="AE180" s="54"/>
      <c r="AF180" s="54"/>
    </row>
    <row r="181" spans="1:32" ht="15" hidden="1" customHeight="1" x14ac:dyDescent="0.2">
      <c r="C181" s="58" t="str">
        <f>IF(O181&gt;0,1,"")</f>
        <v/>
      </c>
      <c r="D181" s="118"/>
      <c r="E181" s="118"/>
      <c r="F181" s="118"/>
      <c r="G181" s="118"/>
      <c r="H181" s="118"/>
      <c r="I181" s="118"/>
      <c r="J181" s="118"/>
      <c r="K181" s="121"/>
      <c r="L181" s="333"/>
      <c r="M181" s="334"/>
      <c r="N181" s="138"/>
      <c r="O181" s="26">
        <f t="shared" ref="O181:O220" si="4">IF(COUNTA(D181:M181)=0,0,1)</f>
        <v>0</v>
      </c>
      <c r="AA181" s="54"/>
      <c r="AB181" s="54"/>
      <c r="AC181" s="54"/>
      <c r="AD181" s="54"/>
      <c r="AE181" s="54"/>
      <c r="AF181" s="54"/>
    </row>
    <row r="182" spans="1:32" ht="15" hidden="1" customHeight="1" x14ac:dyDescent="0.2">
      <c r="C182" s="58" t="str">
        <f t="shared" ref="C182:C220" si="5">IF(O182&gt;0,1+C181,"")</f>
        <v/>
      </c>
      <c r="D182" s="118"/>
      <c r="E182" s="118"/>
      <c r="F182" s="118"/>
      <c r="G182" s="118"/>
      <c r="H182" s="118"/>
      <c r="I182" s="118"/>
      <c r="J182" s="118"/>
      <c r="K182" s="118"/>
      <c r="L182" s="327"/>
      <c r="M182" s="328"/>
      <c r="N182" s="138"/>
      <c r="O182" s="26">
        <f t="shared" si="4"/>
        <v>0</v>
      </c>
      <c r="AA182" s="54"/>
      <c r="AB182" s="54"/>
      <c r="AC182" s="54"/>
      <c r="AD182" s="54"/>
      <c r="AE182" s="54"/>
      <c r="AF182" s="54"/>
    </row>
    <row r="183" spans="1:32" ht="15" hidden="1" customHeight="1" x14ac:dyDescent="0.2">
      <c r="C183" s="58" t="str">
        <f t="shared" si="5"/>
        <v/>
      </c>
      <c r="D183" s="118"/>
      <c r="E183" s="118"/>
      <c r="F183" s="118"/>
      <c r="G183" s="118"/>
      <c r="H183" s="118"/>
      <c r="I183" s="118"/>
      <c r="J183" s="118"/>
      <c r="K183" s="118"/>
      <c r="L183" s="327"/>
      <c r="M183" s="328"/>
      <c r="N183" s="138"/>
      <c r="O183" s="26">
        <f t="shared" si="4"/>
        <v>0</v>
      </c>
      <c r="AA183" s="54"/>
      <c r="AB183" s="54"/>
      <c r="AC183" s="54"/>
      <c r="AD183" s="54"/>
      <c r="AE183" s="54"/>
      <c r="AF183" s="54"/>
    </row>
    <row r="184" spans="1:32" ht="15" hidden="1" customHeight="1" x14ac:dyDescent="0.2">
      <c r="C184" s="58" t="str">
        <f t="shared" si="5"/>
        <v/>
      </c>
      <c r="D184" s="118"/>
      <c r="E184" s="118"/>
      <c r="F184" s="118"/>
      <c r="G184" s="118"/>
      <c r="H184" s="118"/>
      <c r="I184" s="118"/>
      <c r="J184" s="118"/>
      <c r="K184" s="118"/>
      <c r="L184" s="327"/>
      <c r="M184" s="328"/>
      <c r="N184" s="138"/>
      <c r="O184" s="26">
        <f t="shared" si="4"/>
        <v>0</v>
      </c>
      <c r="AA184" s="54"/>
      <c r="AB184" s="54"/>
      <c r="AC184" s="54"/>
      <c r="AD184" s="54"/>
      <c r="AE184" s="54"/>
      <c r="AF184" s="54"/>
    </row>
    <row r="185" spans="1:32" ht="15" hidden="1" customHeight="1" x14ac:dyDescent="0.2">
      <c r="C185" s="58" t="str">
        <f t="shared" si="5"/>
        <v/>
      </c>
      <c r="D185" s="118"/>
      <c r="E185" s="118"/>
      <c r="F185" s="118"/>
      <c r="G185" s="118"/>
      <c r="H185" s="118"/>
      <c r="I185" s="118"/>
      <c r="J185" s="118"/>
      <c r="K185" s="118"/>
      <c r="L185" s="327"/>
      <c r="M185" s="328"/>
      <c r="N185" s="138"/>
      <c r="O185" s="26">
        <f t="shared" si="4"/>
        <v>0</v>
      </c>
      <c r="AA185" s="54"/>
      <c r="AB185" s="54"/>
      <c r="AC185" s="54"/>
      <c r="AD185" s="54"/>
      <c r="AE185" s="54"/>
      <c r="AF185" s="54"/>
    </row>
    <row r="186" spans="1:32" ht="15" hidden="1" customHeight="1" x14ac:dyDescent="0.2">
      <c r="C186" s="58" t="str">
        <f t="shared" si="5"/>
        <v/>
      </c>
      <c r="D186" s="118"/>
      <c r="E186" s="118"/>
      <c r="F186" s="118"/>
      <c r="G186" s="118"/>
      <c r="H186" s="118"/>
      <c r="I186" s="118"/>
      <c r="J186" s="118"/>
      <c r="K186" s="118"/>
      <c r="L186" s="327"/>
      <c r="M186" s="328"/>
      <c r="N186" s="138"/>
      <c r="O186" s="26">
        <f t="shared" si="4"/>
        <v>0</v>
      </c>
      <c r="AA186" s="54"/>
      <c r="AB186" s="54"/>
      <c r="AC186" s="54"/>
      <c r="AD186" s="54"/>
      <c r="AE186" s="54"/>
      <c r="AF186" s="54"/>
    </row>
    <row r="187" spans="1:32" ht="15" hidden="1" customHeight="1" x14ac:dyDescent="0.2">
      <c r="C187" s="58" t="str">
        <f t="shared" si="5"/>
        <v/>
      </c>
      <c r="D187" s="118"/>
      <c r="E187" s="118"/>
      <c r="F187" s="118"/>
      <c r="G187" s="118"/>
      <c r="H187" s="118"/>
      <c r="I187" s="118"/>
      <c r="J187" s="118"/>
      <c r="K187" s="118"/>
      <c r="L187" s="327"/>
      <c r="M187" s="328"/>
      <c r="N187" s="138"/>
      <c r="O187" s="26">
        <f t="shared" si="4"/>
        <v>0</v>
      </c>
      <c r="AA187" s="54"/>
      <c r="AB187" s="54"/>
      <c r="AC187" s="54"/>
      <c r="AD187" s="54"/>
      <c r="AE187" s="54"/>
      <c r="AF187" s="54"/>
    </row>
    <row r="188" spans="1:32" ht="15" hidden="1" customHeight="1" x14ac:dyDescent="0.2">
      <c r="C188" s="58" t="str">
        <f t="shared" si="5"/>
        <v/>
      </c>
      <c r="D188" s="118"/>
      <c r="E188" s="118"/>
      <c r="F188" s="118"/>
      <c r="G188" s="118"/>
      <c r="H188" s="118"/>
      <c r="I188" s="118"/>
      <c r="J188" s="118"/>
      <c r="K188" s="118"/>
      <c r="L188" s="327"/>
      <c r="M188" s="328"/>
      <c r="N188" s="138"/>
      <c r="O188" s="26">
        <f t="shared" si="4"/>
        <v>0</v>
      </c>
      <c r="AA188" s="54"/>
      <c r="AB188" s="54"/>
      <c r="AC188" s="54"/>
      <c r="AD188" s="54"/>
      <c r="AE188" s="54"/>
      <c r="AF188" s="54"/>
    </row>
    <row r="189" spans="1:32" ht="15" hidden="1" customHeight="1" x14ac:dyDescent="0.2">
      <c r="C189" s="58" t="str">
        <f t="shared" si="5"/>
        <v/>
      </c>
      <c r="D189" s="118"/>
      <c r="E189" s="118"/>
      <c r="F189" s="118"/>
      <c r="G189" s="118"/>
      <c r="H189" s="118"/>
      <c r="I189" s="118"/>
      <c r="J189" s="118"/>
      <c r="K189" s="118"/>
      <c r="L189" s="327"/>
      <c r="M189" s="328"/>
      <c r="N189" s="138"/>
      <c r="O189" s="26">
        <f t="shared" si="4"/>
        <v>0</v>
      </c>
      <c r="AA189" s="54"/>
      <c r="AB189" s="54"/>
      <c r="AC189" s="54"/>
      <c r="AD189" s="54"/>
      <c r="AE189" s="54"/>
      <c r="AF189" s="54"/>
    </row>
    <row r="190" spans="1:32" ht="15" hidden="1" customHeight="1" x14ac:dyDescent="0.2">
      <c r="C190" s="58" t="str">
        <f t="shared" si="5"/>
        <v/>
      </c>
      <c r="D190" s="118"/>
      <c r="E190" s="118"/>
      <c r="F190" s="118"/>
      <c r="G190" s="118"/>
      <c r="H190" s="118"/>
      <c r="I190" s="118"/>
      <c r="J190" s="118"/>
      <c r="K190" s="118"/>
      <c r="L190" s="327"/>
      <c r="M190" s="328"/>
      <c r="N190" s="138"/>
      <c r="O190" s="26">
        <f t="shared" si="4"/>
        <v>0</v>
      </c>
      <c r="AA190" s="54"/>
      <c r="AB190" s="54"/>
      <c r="AC190" s="54"/>
      <c r="AD190" s="54"/>
      <c r="AE190" s="54"/>
      <c r="AF190" s="54"/>
    </row>
    <row r="191" spans="1:32" ht="15" hidden="1" customHeight="1" x14ac:dyDescent="0.2">
      <c r="C191" s="58" t="str">
        <f t="shared" si="5"/>
        <v/>
      </c>
      <c r="D191" s="118"/>
      <c r="E191" s="118"/>
      <c r="F191" s="118"/>
      <c r="G191" s="118"/>
      <c r="H191" s="118"/>
      <c r="I191" s="118"/>
      <c r="J191" s="118"/>
      <c r="K191" s="118"/>
      <c r="L191" s="327"/>
      <c r="M191" s="328"/>
      <c r="N191" s="138"/>
      <c r="O191" s="26">
        <f t="shared" si="4"/>
        <v>0</v>
      </c>
      <c r="AA191" s="54"/>
      <c r="AB191" s="54"/>
      <c r="AC191" s="54"/>
      <c r="AD191" s="54"/>
      <c r="AE191" s="54"/>
      <c r="AF191" s="54"/>
    </row>
    <row r="192" spans="1:32" ht="15" hidden="1" customHeight="1" x14ac:dyDescent="0.2">
      <c r="C192" s="58" t="str">
        <f t="shared" si="5"/>
        <v/>
      </c>
      <c r="D192" s="118"/>
      <c r="E192" s="118"/>
      <c r="F192" s="118"/>
      <c r="G192" s="118"/>
      <c r="H192" s="118"/>
      <c r="I192" s="118"/>
      <c r="J192" s="118"/>
      <c r="K192" s="118"/>
      <c r="L192" s="327"/>
      <c r="M192" s="328"/>
      <c r="N192" s="138"/>
      <c r="O192" s="26">
        <f t="shared" si="4"/>
        <v>0</v>
      </c>
      <c r="AA192" s="54"/>
      <c r="AB192" s="54"/>
      <c r="AC192" s="54"/>
      <c r="AD192" s="54"/>
      <c r="AE192" s="54"/>
      <c r="AF192" s="54"/>
    </row>
    <row r="193" spans="3:32" ht="15" hidden="1" customHeight="1" x14ac:dyDescent="0.2">
      <c r="C193" s="58" t="str">
        <f t="shared" si="5"/>
        <v/>
      </c>
      <c r="D193" s="118"/>
      <c r="E193" s="118"/>
      <c r="F193" s="118"/>
      <c r="G193" s="118"/>
      <c r="H193" s="118"/>
      <c r="I193" s="118"/>
      <c r="J193" s="118"/>
      <c r="K193" s="118"/>
      <c r="L193" s="327"/>
      <c r="M193" s="328"/>
      <c r="N193" s="138"/>
      <c r="O193" s="26">
        <f t="shared" si="4"/>
        <v>0</v>
      </c>
      <c r="AA193" s="54"/>
      <c r="AB193" s="54"/>
      <c r="AC193" s="54"/>
      <c r="AD193" s="54"/>
      <c r="AE193" s="54"/>
      <c r="AF193" s="54"/>
    </row>
    <row r="194" spans="3:32" ht="15" hidden="1" customHeight="1" x14ac:dyDescent="0.2">
      <c r="C194" s="58" t="str">
        <f t="shared" si="5"/>
        <v/>
      </c>
      <c r="D194" s="118"/>
      <c r="E194" s="118"/>
      <c r="F194" s="118"/>
      <c r="G194" s="118"/>
      <c r="H194" s="118"/>
      <c r="I194" s="118"/>
      <c r="J194" s="118"/>
      <c r="K194" s="118"/>
      <c r="L194" s="327"/>
      <c r="M194" s="328"/>
      <c r="N194" s="138"/>
      <c r="O194" s="26">
        <f t="shared" si="4"/>
        <v>0</v>
      </c>
      <c r="AA194" s="54"/>
      <c r="AB194" s="54"/>
      <c r="AC194" s="54"/>
      <c r="AD194" s="54"/>
      <c r="AE194" s="54"/>
      <c r="AF194" s="54"/>
    </row>
    <row r="195" spans="3:32" ht="15" hidden="1" customHeight="1" x14ac:dyDescent="0.2">
      <c r="C195" s="58" t="str">
        <f t="shared" si="5"/>
        <v/>
      </c>
      <c r="D195" s="118"/>
      <c r="E195" s="118"/>
      <c r="F195" s="118"/>
      <c r="G195" s="118"/>
      <c r="H195" s="118"/>
      <c r="I195" s="118"/>
      <c r="J195" s="118"/>
      <c r="K195" s="118"/>
      <c r="L195" s="327"/>
      <c r="M195" s="328"/>
      <c r="N195" s="138"/>
      <c r="O195" s="26">
        <f t="shared" si="4"/>
        <v>0</v>
      </c>
      <c r="AA195" s="54"/>
      <c r="AB195" s="54"/>
      <c r="AC195" s="54"/>
      <c r="AD195" s="54"/>
      <c r="AE195" s="54"/>
      <c r="AF195" s="54"/>
    </row>
    <row r="196" spans="3:32" ht="15" hidden="1" customHeight="1" x14ac:dyDescent="0.2">
      <c r="C196" s="58" t="str">
        <f t="shared" si="5"/>
        <v/>
      </c>
      <c r="D196" s="118"/>
      <c r="E196" s="118"/>
      <c r="F196" s="118"/>
      <c r="G196" s="118"/>
      <c r="H196" s="118"/>
      <c r="I196" s="118"/>
      <c r="J196" s="118"/>
      <c r="K196" s="118"/>
      <c r="L196" s="327"/>
      <c r="M196" s="328"/>
      <c r="N196" s="138"/>
      <c r="O196" s="26">
        <f t="shared" si="4"/>
        <v>0</v>
      </c>
      <c r="AA196" s="54"/>
      <c r="AB196" s="54"/>
      <c r="AC196" s="54"/>
      <c r="AD196" s="54"/>
      <c r="AE196" s="54"/>
      <c r="AF196" s="54"/>
    </row>
    <row r="197" spans="3:32" ht="15" hidden="1" customHeight="1" x14ac:dyDescent="0.2">
      <c r="C197" s="58" t="str">
        <f t="shared" si="5"/>
        <v/>
      </c>
      <c r="D197" s="118"/>
      <c r="E197" s="118"/>
      <c r="F197" s="118"/>
      <c r="G197" s="118"/>
      <c r="H197" s="118"/>
      <c r="I197" s="118"/>
      <c r="J197" s="118"/>
      <c r="K197" s="118"/>
      <c r="L197" s="327"/>
      <c r="M197" s="328"/>
      <c r="N197" s="138"/>
      <c r="O197" s="26">
        <f t="shared" si="4"/>
        <v>0</v>
      </c>
      <c r="AA197" s="54"/>
      <c r="AB197" s="54"/>
      <c r="AC197" s="54"/>
      <c r="AD197" s="54"/>
      <c r="AE197" s="54"/>
      <c r="AF197" s="54"/>
    </row>
    <row r="198" spans="3:32" ht="15" hidden="1" customHeight="1" x14ac:dyDescent="0.2">
      <c r="C198" s="58" t="str">
        <f t="shared" si="5"/>
        <v/>
      </c>
      <c r="D198" s="118"/>
      <c r="E198" s="118"/>
      <c r="F198" s="118"/>
      <c r="G198" s="118"/>
      <c r="H198" s="118"/>
      <c r="I198" s="118"/>
      <c r="J198" s="118"/>
      <c r="K198" s="118"/>
      <c r="L198" s="327"/>
      <c r="M198" s="328"/>
      <c r="N198" s="138"/>
      <c r="O198" s="26">
        <f t="shared" si="4"/>
        <v>0</v>
      </c>
      <c r="AA198" s="54"/>
      <c r="AB198" s="54"/>
      <c r="AC198" s="54"/>
      <c r="AD198" s="54"/>
      <c r="AE198" s="54"/>
      <c r="AF198" s="54"/>
    </row>
    <row r="199" spans="3:32" ht="15" hidden="1" customHeight="1" x14ac:dyDescent="0.2">
      <c r="C199" s="58" t="str">
        <f t="shared" si="5"/>
        <v/>
      </c>
      <c r="D199" s="118"/>
      <c r="E199" s="118"/>
      <c r="F199" s="118"/>
      <c r="G199" s="118"/>
      <c r="H199" s="118"/>
      <c r="I199" s="118"/>
      <c r="J199" s="118"/>
      <c r="K199" s="118"/>
      <c r="L199" s="327"/>
      <c r="M199" s="328"/>
      <c r="N199" s="138"/>
      <c r="O199" s="26">
        <f t="shared" si="4"/>
        <v>0</v>
      </c>
      <c r="AA199" s="54"/>
      <c r="AB199" s="54"/>
      <c r="AC199" s="54"/>
      <c r="AD199" s="54"/>
      <c r="AE199" s="54"/>
      <c r="AF199" s="54"/>
    </row>
    <row r="200" spans="3:32" ht="15" hidden="1" customHeight="1" x14ac:dyDescent="0.2">
      <c r="C200" s="58" t="str">
        <f t="shared" si="5"/>
        <v/>
      </c>
      <c r="D200" s="118"/>
      <c r="E200" s="118"/>
      <c r="F200" s="118"/>
      <c r="G200" s="118"/>
      <c r="H200" s="118"/>
      <c r="I200" s="118"/>
      <c r="J200" s="118"/>
      <c r="K200" s="118"/>
      <c r="L200" s="327"/>
      <c r="M200" s="328"/>
      <c r="N200" s="138"/>
      <c r="O200" s="26">
        <f t="shared" si="4"/>
        <v>0</v>
      </c>
      <c r="AA200" s="54"/>
      <c r="AB200" s="54"/>
      <c r="AC200" s="54"/>
      <c r="AD200" s="54"/>
      <c r="AE200" s="54"/>
      <c r="AF200" s="54"/>
    </row>
    <row r="201" spans="3:32" ht="15" hidden="1" customHeight="1" x14ac:dyDescent="0.2">
      <c r="C201" s="58" t="str">
        <f t="shared" si="5"/>
        <v/>
      </c>
      <c r="D201" s="118"/>
      <c r="E201" s="118"/>
      <c r="F201" s="118"/>
      <c r="G201" s="118"/>
      <c r="H201" s="118"/>
      <c r="I201" s="118"/>
      <c r="J201" s="118"/>
      <c r="K201" s="118"/>
      <c r="L201" s="327"/>
      <c r="M201" s="328"/>
      <c r="N201" s="138"/>
      <c r="O201" s="26">
        <f t="shared" si="4"/>
        <v>0</v>
      </c>
      <c r="AA201" s="54"/>
      <c r="AB201" s="54"/>
      <c r="AC201" s="54"/>
      <c r="AD201" s="54"/>
      <c r="AE201" s="54"/>
      <c r="AF201" s="54"/>
    </row>
    <row r="202" spans="3:32" ht="15" hidden="1" customHeight="1" x14ac:dyDescent="0.2">
      <c r="C202" s="58" t="str">
        <f t="shared" si="5"/>
        <v/>
      </c>
      <c r="D202" s="118"/>
      <c r="E202" s="118"/>
      <c r="F202" s="118"/>
      <c r="G202" s="118"/>
      <c r="H202" s="118"/>
      <c r="I202" s="118"/>
      <c r="J202" s="118"/>
      <c r="K202" s="118"/>
      <c r="L202" s="327"/>
      <c r="M202" s="328"/>
      <c r="N202" s="138"/>
      <c r="O202" s="26">
        <f t="shared" si="4"/>
        <v>0</v>
      </c>
      <c r="AA202" s="54"/>
      <c r="AB202" s="54"/>
      <c r="AC202" s="54"/>
      <c r="AD202" s="54"/>
      <c r="AE202" s="54"/>
      <c r="AF202" s="54"/>
    </row>
    <row r="203" spans="3:32" ht="15" hidden="1" customHeight="1" x14ac:dyDescent="0.2">
      <c r="C203" s="58" t="str">
        <f t="shared" si="5"/>
        <v/>
      </c>
      <c r="D203" s="118"/>
      <c r="E203" s="118"/>
      <c r="F203" s="118"/>
      <c r="G203" s="118"/>
      <c r="H203" s="118"/>
      <c r="I203" s="118"/>
      <c r="J203" s="118"/>
      <c r="K203" s="118"/>
      <c r="L203" s="327"/>
      <c r="M203" s="328"/>
      <c r="N203" s="138"/>
      <c r="O203" s="26">
        <f t="shared" si="4"/>
        <v>0</v>
      </c>
      <c r="AA203" s="54"/>
      <c r="AB203" s="54"/>
      <c r="AC203" s="54"/>
      <c r="AD203" s="54"/>
      <c r="AE203" s="54"/>
      <c r="AF203" s="54"/>
    </row>
    <row r="204" spans="3:32" ht="15" hidden="1" customHeight="1" x14ac:dyDescent="0.2">
      <c r="C204" s="58" t="str">
        <f t="shared" si="5"/>
        <v/>
      </c>
      <c r="D204" s="118"/>
      <c r="E204" s="118"/>
      <c r="F204" s="118"/>
      <c r="G204" s="118"/>
      <c r="H204" s="118"/>
      <c r="I204" s="118"/>
      <c r="J204" s="118"/>
      <c r="K204" s="118"/>
      <c r="L204" s="327"/>
      <c r="M204" s="328"/>
      <c r="N204" s="138"/>
      <c r="O204" s="26">
        <f t="shared" si="4"/>
        <v>0</v>
      </c>
      <c r="AA204" s="54"/>
      <c r="AB204" s="54"/>
      <c r="AC204" s="54"/>
      <c r="AD204" s="54"/>
      <c r="AE204" s="54"/>
      <c r="AF204" s="54"/>
    </row>
    <row r="205" spans="3:32" ht="15" hidden="1" customHeight="1" x14ac:dyDescent="0.2">
      <c r="C205" s="58" t="str">
        <f t="shared" si="5"/>
        <v/>
      </c>
      <c r="D205" s="118"/>
      <c r="E205" s="118"/>
      <c r="F205" s="118"/>
      <c r="G205" s="118"/>
      <c r="H205" s="118"/>
      <c r="I205" s="118"/>
      <c r="J205" s="118"/>
      <c r="K205" s="118"/>
      <c r="L205" s="327"/>
      <c r="M205" s="328"/>
      <c r="N205" s="138"/>
      <c r="O205" s="26">
        <f t="shared" si="4"/>
        <v>0</v>
      </c>
      <c r="AA205" s="54"/>
      <c r="AB205" s="54"/>
      <c r="AC205" s="54"/>
      <c r="AD205" s="54"/>
      <c r="AE205" s="54"/>
      <c r="AF205" s="54"/>
    </row>
    <row r="206" spans="3:32" ht="15" hidden="1" customHeight="1" x14ac:dyDescent="0.2">
      <c r="C206" s="58" t="str">
        <f t="shared" si="5"/>
        <v/>
      </c>
      <c r="D206" s="118"/>
      <c r="E206" s="118"/>
      <c r="F206" s="118"/>
      <c r="G206" s="118"/>
      <c r="H206" s="118"/>
      <c r="I206" s="118"/>
      <c r="J206" s="118"/>
      <c r="K206" s="118"/>
      <c r="L206" s="327"/>
      <c r="M206" s="328"/>
      <c r="N206" s="138"/>
      <c r="O206" s="26">
        <f t="shared" si="4"/>
        <v>0</v>
      </c>
      <c r="AA206" s="54"/>
      <c r="AB206" s="54"/>
      <c r="AC206" s="54"/>
      <c r="AD206" s="54"/>
      <c r="AE206" s="54"/>
      <c r="AF206" s="54"/>
    </row>
    <row r="207" spans="3:32" ht="15" hidden="1" customHeight="1" x14ac:dyDescent="0.2">
      <c r="C207" s="58" t="str">
        <f t="shared" si="5"/>
        <v/>
      </c>
      <c r="D207" s="118"/>
      <c r="E207" s="118"/>
      <c r="F207" s="118"/>
      <c r="G207" s="118"/>
      <c r="H207" s="118"/>
      <c r="I207" s="118"/>
      <c r="J207" s="118"/>
      <c r="K207" s="118"/>
      <c r="L207" s="327"/>
      <c r="M207" s="328"/>
      <c r="N207" s="138"/>
      <c r="O207" s="26">
        <f t="shared" si="4"/>
        <v>0</v>
      </c>
      <c r="AA207" s="54"/>
      <c r="AB207" s="54"/>
      <c r="AC207" s="54"/>
      <c r="AD207" s="54"/>
      <c r="AE207" s="54"/>
      <c r="AF207" s="54"/>
    </row>
    <row r="208" spans="3:32" ht="15" hidden="1" customHeight="1" x14ac:dyDescent="0.2">
      <c r="C208" s="58" t="str">
        <f t="shared" si="5"/>
        <v/>
      </c>
      <c r="D208" s="118"/>
      <c r="E208" s="118"/>
      <c r="F208" s="118"/>
      <c r="G208" s="118"/>
      <c r="H208" s="118"/>
      <c r="I208" s="118"/>
      <c r="J208" s="118"/>
      <c r="K208" s="118"/>
      <c r="L208" s="327"/>
      <c r="M208" s="328"/>
      <c r="N208" s="138"/>
      <c r="O208" s="26">
        <f t="shared" si="4"/>
        <v>0</v>
      </c>
      <c r="AA208" s="54"/>
      <c r="AB208" s="54"/>
      <c r="AC208" s="54"/>
      <c r="AD208" s="54"/>
      <c r="AE208" s="54"/>
      <c r="AF208" s="54"/>
    </row>
    <row r="209" spans="3:32" ht="15" hidden="1" customHeight="1" x14ac:dyDescent="0.2">
      <c r="C209" s="58" t="str">
        <f t="shared" si="5"/>
        <v/>
      </c>
      <c r="D209" s="118"/>
      <c r="E209" s="118"/>
      <c r="F209" s="118"/>
      <c r="G209" s="118"/>
      <c r="H209" s="118"/>
      <c r="I209" s="118"/>
      <c r="J209" s="118"/>
      <c r="K209" s="118"/>
      <c r="L209" s="327"/>
      <c r="M209" s="328"/>
      <c r="N209" s="138"/>
      <c r="O209" s="26">
        <f t="shared" si="4"/>
        <v>0</v>
      </c>
      <c r="AA209" s="54"/>
      <c r="AB209" s="54"/>
      <c r="AC209" s="54"/>
      <c r="AD209" s="54"/>
      <c r="AE209" s="54"/>
      <c r="AF209" s="54"/>
    </row>
    <row r="210" spans="3:32" ht="15" hidden="1" customHeight="1" x14ac:dyDescent="0.2">
      <c r="C210" s="58" t="str">
        <f t="shared" si="5"/>
        <v/>
      </c>
      <c r="D210" s="118"/>
      <c r="E210" s="118"/>
      <c r="F210" s="118"/>
      <c r="G210" s="118"/>
      <c r="H210" s="118"/>
      <c r="I210" s="118"/>
      <c r="J210" s="118"/>
      <c r="K210" s="118"/>
      <c r="L210" s="327"/>
      <c r="M210" s="328"/>
      <c r="N210" s="138"/>
      <c r="O210" s="26">
        <f t="shared" si="4"/>
        <v>0</v>
      </c>
      <c r="AA210" s="54"/>
      <c r="AB210" s="54"/>
      <c r="AC210" s="54"/>
      <c r="AD210" s="54"/>
      <c r="AE210" s="54"/>
      <c r="AF210" s="54"/>
    </row>
    <row r="211" spans="3:32" ht="15" hidden="1" customHeight="1" x14ac:dyDescent="0.2">
      <c r="C211" s="58" t="str">
        <f t="shared" si="5"/>
        <v/>
      </c>
      <c r="D211" s="118"/>
      <c r="E211" s="118"/>
      <c r="F211" s="118"/>
      <c r="G211" s="118"/>
      <c r="H211" s="118"/>
      <c r="I211" s="118"/>
      <c r="J211" s="118"/>
      <c r="K211" s="118"/>
      <c r="L211" s="327"/>
      <c r="M211" s="328"/>
      <c r="N211" s="138"/>
      <c r="O211" s="26">
        <f t="shared" si="4"/>
        <v>0</v>
      </c>
      <c r="AA211" s="54"/>
      <c r="AB211" s="54"/>
      <c r="AC211" s="54"/>
      <c r="AD211" s="54"/>
      <c r="AE211" s="54"/>
      <c r="AF211" s="54"/>
    </row>
    <row r="212" spans="3:32" ht="15" hidden="1" customHeight="1" x14ac:dyDescent="0.2">
      <c r="C212" s="58" t="str">
        <f t="shared" si="5"/>
        <v/>
      </c>
      <c r="D212" s="118"/>
      <c r="E212" s="118"/>
      <c r="F212" s="118"/>
      <c r="G212" s="118"/>
      <c r="H212" s="118"/>
      <c r="I212" s="118"/>
      <c r="J212" s="118"/>
      <c r="K212" s="118"/>
      <c r="L212" s="327"/>
      <c r="M212" s="328"/>
      <c r="N212" s="138"/>
      <c r="O212" s="26">
        <f t="shared" si="4"/>
        <v>0</v>
      </c>
      <c r="AA212" s="54"/>
      <c r="AB212" s="54"/>
      <c r="AC212" s="54"/>
      <c r="AD212" s="54"/>
      <c r="AE212" s="54"/>
      <c r="AF212" s="54"/>
    </row>
    <row r="213" spans="3:32" ht="15" hidden="1" customHeight="1" x14ac:dyDescent="0.2">
      <c r="C213" s="58" t="str">
        <f t="shared" si="5"/>
        <v/>
      </c>
      <c r="D213" s="118"/>
      <c r="E213" s="118"/>
      <c r="F213" s="118"/>
      <c r="G213" s="118"/>
      <c r="H213" s="118"/>
      <c r="I213" s="118"/>
      <c r="J213" s="118"/>
      <c r="K213" s="118"/>
      <c r="L213" s="327"/>
      <c r="M213" s="328"/>
      <c r="N213" s="138"/>
      <c r="O213" s="26">
        <f t="shared" si="4"/>
        <v>0</v>
      </c>
      <c r="AA213" s="54"/>
      <c r="AB213" s="54"/>
      <c r="AC213" s="54"/>
      <c r="AD213" s="54"/>
      <c r="AE213" s="54"/>
      <c r="AF213" s="54"/>
    </row>
    <row r="214" spans="3:32" ht="15" hidden="1" customHeight="1" x14ac:dyDescent="0.2">
      <c r="C214" s="58" t="str">
        <f t="shared" si="5"/>
        <v/>
      </c>
      <c r="D214" s="118"/>
      <c r="E214" s="118"/>
      <c r="F214" s="118"/>
      <c r="G214" s="118"/>
      <c r="H214" s="118"/>
      <c r="I214" s="118"/>
      <c r="J214" s="118"/>
      <c r="K214" s="118"/>
      <c r="L214" s="327"/>
      <c r="M214" s="328"/>
      <c r="N214" s="138"/>
      <c r="O214" s="26">
        <f t="shared" si="4"/>
        <v>0</v>
      </c>
      <c r="AA214" s="54"/>
      <c r="AB214" s="54"/>
      <c r="AC214" s="54"/>
      <c r="AD214" s="54"/>
      <c r="AE214" s="54"/>
      <c r="AF214" s="54"/>
    </row>
    <row r="215" spans="3:32" ht="15" hidden="1" customHeight="1" x14ac:dyDescent="0.2">
      <c r="C215" s="58" t="str">
        <f t="shared" si="5"/>
        <v/>
      </c>
      <c r="D215" s="118"/>
      <c r="E215" s="118"/>
      <c r="F215" s="118"/>
      <c r="G215" s="118"/>
      <c r="H215" s="118"/>
      <c r="I215" s="118"/>
      <c r="J215" s="118"/>
      <c r="K215" s="118"/>
      <c r="L215" s="327"/>
      <c r="M215" s="328"/>
      <c r="N215" s="138"/>
      <c r="O215" s="26">
        <f t="shared" si="4"/>
        <v>0</v>
      </c>
      <c r="AA215" s="54"/>
      <c r="AB215" s="54"/>
      <c r="AC215" s="54"/>
      <c r="AD215" s="54"/>
      <c r="AE215" s="54"/>
      <c r="AF215" s="54"/>
    </row>
    <row r="216" spans="3:32" ht="15" hidden="1" customHeight="1" x14ac:dyDescent="0.2">
      <c r="C216" s="58" t="str">
        <f t="shared" si="5"/>
        <v/>
      </c>
      <c r="D216" s="118"/>
      <c r="E216" s="118"/>
      <c r="F216" s="118"/>
      <c r="G216" s="118"/>
      <c r="H216" s="118"/>
      <c r="I216" s="118"/>
      <c r="J216" s="118"/>
      <c r="K216" s="118"/>
      <c r="L216" s="327"/>
      <c r="M216" s="328"/>
      <c r="N216" s="138"/>
      <c r="O216" s="26">
        <f t="shared" si="4"/>
        <v>0</v>
      </c>
      <c r="AA216" s="54"/>
      <c r="AB216" s="54"/>
      <c r="AC216" s="54"/>
      <c r="AD216" s="54"/>
      <c r="AE216" s="54"/>
      <c r="AF216" s="54"/>
    </row>
    <row r="217" spans="3:32" ht="15" hidden="1" customHeight="1" x14ac:dyDescent="0.2">
      <c r="C217" s="58" t="str">
        <f t="shared" si="5"/>
        <v/>
      </c>
      <c r="D217" s="118"/>
      <c r="E217" s="118"/>
      <c r="F217" s="118"/>
      <c r="G217" s="118"/>
      <c r="H217" s="118"/>
      <c r="I217" s="118"/>
      <c r="J217" s="118"/>
      <c r="K217" s="118"/>
      <c r="L217" s="327"/>
      <c r="M217" s="328"/>
      <c r="N217" s="138"/>
      <c r="O217" s="26">
        <f t="shared" si="4"/>
        <v>0</v>
      </c>
      <c r="AA217" s="54"/>
      <c r="AB217" s="54"/>
      <c r="AC217" s="54"/>
      <c r="AD217" s="54"/>
      <c r="AE217" s="54"/>
      <c r="AF217" s="54"/>
    </row>
    <row r="218" spans="3:32" ht="15" hidden="1" customHeight="1" x14ac:dyDescent="0.2">
      <c r="C218" s="58" t="str">
        <f t="shared" si="5"/>
        <v/>
      </c>
      <c r="D218" s="118"/>
      <c r="E218" s="118"/>
      <c r="F218" s="118"/>
      <c r="G218" s="118"/>
      <c r="H218" s="118"/>
      <c r="I218" s="118"/>
      <c r="J218" s="118"/>
      <c r="K218" s="118"/>
      <c r="L218" s="327"/>
      <c r="M218" s="328"/>
      <c r="N218" s="138"/>
      <c r="O218" s="26">
        <f t="shared" si="4"/>
        <v>0</v>
      </c>
      <c r="AA218" s="54"/>
      <c r="AB218" s="54"/>
      <c r="AC218" s="54"/>
      <c r="AD218" s="54"/>
      <c r="AE218" s="54"/>
      <c r="AF218" s="54"/>
    </row>
    <row r="219" spans="3:32" ht="15" hidden="1" customHeight="1" x14ac:dyDescent="0.2">
      <c r="C219" s="58" t="str">
        <f t="shared" si="5"/>
        <v/>
      </c>
      <c r="D219" s="118"/>
      <c r="E219" s="118"/>
      <c r="F219" s="118"/>
      <c r="G219" s="118"/>
      <c r="H219" s="118"/>
      <c r="I219" s="118"/>
      <c r="J219" s="118"/>
      <c r="K219" s="118"/>
      <c r="L219" s="327"/>
      <c r="M219" s="328"/>
      <c r="N219" s="138"/>
      <c r="O219" s="26">
        <f t="shared" si="4"/>
        <v>0</v>
      </c>
      <c r="AA219" s="54"/>
      <c r="AB219" s="54"/>
      <c r="AC219" s="54"/>
      <c r="AD219" s="54"/>
      <c r="AE219" s="54"/>
      <c r="AF219" s="54"/>
    </row>
    <row r="220" spans="3:32" ht="15" hidden="1" customHeight="1" x14ac:dyDescent="0.2">
      <c r="C220" s="58" t="str">
        <f t="shared" si="5"/>
        <v/>
      </c>
      <c r="D220" s="118"/>
      <c r="E220" s="118"/>
      <c r="F220" s="118"/>
      <c r="G220" s="118"/>
      <c r="H220" s="118"/>
      <c r="I220" s="118"/>
      <c r="J220" s="118"/>
      <c r="K220" s="118"/>
      <c r="L220" s="327"/>
      <c r="M220" s="328"/>
      <c r="N220" s="138"/>
      <c r="O220" s="26">
        <f t="shared" si="4"/>
        <v>0</v>
      </c>
      <c r="AA220" s="54"/>
      <c r="AB220" s="54"/>
      <c r="AC220" s="54"/>
      <c r="AD220" s="54"/>
      <c r="AE220" s="54"/>
      <c r="AF220" s="54"/>
    </row>
    <row r="221" spans="3:32" ht="15" hidden="1" customHeight="1" x14ac:dyDescent="0.2">
      <c r="C221" s="331"/>
      <c r="D221" s="331"/>
      <c r="E221" s="331"/>
      <c r="F221" s="331"/>
      <c r="G221" s="331"/>
      <c r="H221" s="331"/>
      <c r="I221" s="331"/>
      <c r="J221" s="331"/>
      <c r="K221" s="331"/>
      <c r="L221" s="331"/>
      <c r="M221" s="331"/>
      <c r="N221" s="138"/>
      <c r="AA221" s="54"/>
      <c r="AB221" s="54"/>
      <c r="AC221" s="54"/>
      <c r="AD221" s="54"/>
      <c r="AE221" s="54"/>
      <c r="AF221" s="54"/>
    </row>
    <row r="222" spans="3:32" ht="15" hidden="1" customHeight="1" x14ac:dyDescent="0.2">
      <c r="C222" s="20" t="s">
        <v>125</v>
      </c>
      <c r="D222" s="286"/>
      <c r="E222" s="287"/>
      <c r="F222" s="287"/>
      <c r="G222" s="287"/>
      <c r="H222" s="287"/>
      <c r="I222" s="287"/>
      <c r="J222" s="287"/>
      <c r="K222" s="287"/>
      <c r="L222" s="287"/>
      <c r="M222" s="288"/>
      <c r="N222" s="138"/>
      <c r="AA222" s="54"/>
      <c r="AB222" s="54"/>
      <c r="AC222" s="54"/>
      <c r="AD222" s="54"/>
      <c r="AE222" s="54"/>
      <c r="AF222" s="54"/>
    </row>
    <row r="223" spans="3:32" ht="15" hidden="1" customHeight="1" x14ac:dyDescent="0.2">
      <c r="C223" s="295"/>
      <c r="D223" s="289"/>
      <c r="E223" s="290"/>
      <c r="F223" s="290"/>
      <c r="G223" s="290"/>
      <c r="H223" s="290"/>
      <c r="I223" s="290"/>
      <c r="J223" s="290"/>
      <c r="K223" s="290"/>
      <c r="L223" s="290"/>
      <c r="M223" s="291"/>
      <c r="N223" s="138"/>
      <c r="AA223" s="54"/>
      <c r="AB223" s="54"/>
      <c r="AC223" s="54"/>
      <c r="AD223" s="54"/>
      <c r="AE223" s="54"/>
      <c r="AF223" s="54"/>
    </row>
    <row r="224" spans="3:32" ht="15" hidden="1" customHeight="1" x14ac:dyDescent="0.2">
      <c r="C224" s="295"/>
      <c r="D224" s="289"/>
      <c r="E224" s="290"/>
      <c r="F224" s="290"/>
      <c r="G224" s="290"/>
      <c r="H224" s="290"/>
      <c r="I224" s="290"/>
      <c r="J224" s="290"/>
      <c r="K224" s="290"/>
      <c r="L224" s="290"/>
      <c r="M224" s="291"/>
      <c r="N224" s="138"/>
      <c r="AA224" s="54"/>
      <c r="AB224" s="54"/>
      <c r="AC224" s="54"/>
      <c r="AD224" s="54"/>
      <c r="AE224" s="54"/>
      <c r="AF224" s="54"/>
    </row>
    <row r="225" spans="1:32" ht="15" hidden="1" customHeight="1" x14ac:dyDescent="0.2">
      <c r="C225" s="295"/>
      <c r="D225" s="289"/>
      <c r="E225" s="290"/>
      <c r="F225" s="290"/>
      <c r="G225" s="290"/>
      <c r="H225" s="290"/>
      <c r="I225" s="290"/>
      <c r="J225" s="290"/>
      <c r="K225" s="290"/>
      <c r="L225" s="290"/>
      <c r="M225" s="291"/>
      <c r="N225" s="138"/>
      <c r="AA225" s="54"/>
      <c r="AB225" s="54"/>
      <c r="AC225" s="54"/>
      <c r="AD225" s="54"/>
      <c r="AE225" s="54"/>
      <c r="AF225" s="54"/>
    </row>
    <row r="226" spans="1:32" ht="15" hidden="1" customHeight="1" x14ac:dyDescent="0.2">
      <c r="C226" s="295"/>
      <c r="D226" s="292"/>
      <c r="E226" s="293"/>
      <c r="F226" s="293"/>
      <c r="G226" s="293"/>
      <c r="H226" s="293"/>
      <c r="I226" s="293"/>
      <c r="J226" s="293"/>
      <c r="K226" s="293"/>
      <c r="L226" s="293"/>
      <c r="M226" s="294"/>
      <c r="N226" s="138"/>
      <c r="AA226" s="54"/>
      <c r="AB226" s="54"/>
      <c r="AC226" s="54"/>
      <c r="AD226" s="54"/>
      <c r="AE226" s="54"/>
      <c r="AF226" s="54"/>
    </row>
    <row r="227" spans="1:32" ht="15" hidden="1" customHeight="1" thickBot="1" x14ac:dyDescent="0.25">
      <c r="C227" s="296"/>
      <c r="D227" s="296"/>
      <c r="E227" s="296"/>
      <c r="F227" s="296"/>
      <c r="G227" s="296"/>
      <c r="H227" s="296"/>
      <c r="I227" s="296"/>
      <c r="J227" s="296"/>
      <c r="K227" s="296"/>
      <c r="L227" s="296"/>
      <c r="M227" s="296"/>
      <c r="N227" s="138"/>
      <c r="AA227" s="54"/>
      <c r="AB227" s="54"/>
      <c r="AC227" s="54"/>
      <c r="AD227" s="54"/>
      <c r="AE227" s="54"/>
      <c r="AF227" s="54"/>
    </row>
    <row r="228" spans="1:32" ht="15" hidden="1" customHeight="1" thickBot="1" x14ac:dyDescent="0.25">
      <c r="C228" s="332"/>
      <c r="D228" s="332"/>
      <c r="E228" s="332"/>
      <c r="F228" s="332"/>
      <c r="G228" s="332"/>
      <c r="H228" s="332"/>
      <c r="I228" s="332"/>
      <c r="J228" s="332"/>
      <c r="K228" s="332"/>
      <c r="L228" s="332"/>
      <c r="M228" s="332"/>
      <c r="N228" s="138"/>
      <c r="AA228" s="54"/>
      <c r="AB228" s="54"/>
      <c r="AC228" s="54"/>
      <c r="AD228" s="54"/>
      <c r="AE228" s="54"/>
      <c r="AF228" s="54"/>
    </row>
    <row r="229" spans="1:32" ht="15" customHeight="1" thickBot="1" x14ac:dyDescent="0.25">
      <c r="A229" s="134" t="b">
        <v>0</v>
      </c>
      <c r="C229" s="304" t="s">
        <v>264</v>
      </c>
      <c r="D229" s="304"/>
      <c r="E229" s="304"/>
      <c r="F229" s="243"/>
      <c r="G229" s="243"/>
      <c r="H229" s="243"/>
      <c r="I229" s="243"/>
      <c r="J229" s="243"/>
      <c r="K229" s="243"/>
      <c r="L229" s="243"/>
      <c r="M229" s="243"/>
      <c r="N229" s="138"/>
      <c r="O229" s="26">
        <f>SUM(O233:O272)</f>
        <v>0</v>
      </c>
      <c r="AA229" s="54"/>
      <c r="AB229" s="54">
        <f>ROW()</f>
        <v>229</v>
      </c>
      <c r="AC229" s="54">
        <v>5</v>
      </c>
      <c r="AD229" s="54">
        <f>AB229+43</f>
        <v>272</v>
      </c>
      <c r="AE229" s="54">
        <f>AB229+1</f>
        <v>230</v>
      </c>
      <c r="AF229" s="54">
        <f>AB229+50</f>
        <v>279</v>
      </c>
    </row>
    <row r="230" spans="1:32" ht="15" hidden="1" customHeight="1" x14ac:dyDescent="0.2">
      <c r="C230" s="316" t="s">
        <v>276</v>
      </c>
      <c r="D230" s="316"/>
      <c r="E230" s="316"/>
      <c r="F230" s="115" t="s">
        <v>147</v>
      </c>
      <c r="G230" s="317"/>
      <c r="H230" s="317"/>
      <c r="I230" s="317"/>
      <c r="J230" s="317"/>
      <c r="K230" s="317"/>
      <c r="L230" s="317" t="s">
        <v>275</v>
      </c>
      <c r="M230" s="317"/>
      <c r="N230" s="136" t="str">
        <f>IF(COUNTA(D233:D272,D274)=0,"XXX","")</f>
        <v>XXX</v>
      </c>
      <c r="AA230" s="54"/>
      <c r="AB230" s="54"/>
      <c r="AC230" s="54"/>
      <c r="AD230" s="54"/>
      <c r="AE230" s="54"/>
      <c r="AF230" s="54"/>
    </row>
    <row r="231" spans="1:32" ht="15" hidden="1" customHeight="1" x14ac:dyDescent="0.2">
      <c r="A231" s="28" t="s">
        <v>265</v>
      </c>
      <c r="C231" s="163" t="s">
        <v>161</v>
      </c>
      <c r="D231" s="163" t="s">
        <v>117</v>
      </c>
      <c r="E231" s="163" t="s">
        <v>164</v>
      </c>
      <c r="F231" s="163" t="s">
        <v>269</v>
      </c>
      <c r="G231" s="163" t="s">
        <v>270</v>
      </c>
      <c r="H231" s="163" t="s">
        <v>271</v>
      </c>
      <c r="I231" s="163" t="s">
        <v>272</v>
      </c>
      <c r="J231" s="163" t="s">
        <v>273</v>
      </c>
      <c r="K231" s="163" t="s">
        <v>100</v>
      </c>
      <c r="L231" s="209" t="s">
        <v>274</v>
      </c>
      <c r="M231" s="259"/>
      <c r="N231" s="138"/>
      <c r="AA231" s="54"/>
      <c r="AB231" s="54"/>
      <c r="AC231" s="54"/>
      <c r="AD231" s="54"/>
      <c r="AE231" s="54"/>
      <c r="AF231" s="54"/>
    </row>
    <row r="232" spans="1:32" ht="15" hidden="1" customHeight="1" x14ac:dyDescent="0.2">
      <c r="A232" s="28" t="s">
        <v>266</v>
      </c>
      <c r="C232" s="164"/>
      <c r="D232" s="164"/>
      <c r="E232" s="164"/>
      <c r="F232" s="164"/>
      <c r="G232" s="164"/>
      <c r="H232" s="164"/>
      <c r="I232" s="164"/>
      <c r="J232" s="164"/>
      <c r="K232" s="164"/>
      <c r="L232" s="211"/>
      <c r="M232" s="260"/>
      <c r="N232" s="138"/>
      <c r="AA232" s="54"/>
      <c r="AB232" s="54"/>
      <c r="AC232" s="54"/>
      <c r="AD232" s="54"/>
      <c r="AE232" s="54"/>
      <c r="AF232" s="54"/>
    </row>
    <row r="233" spans="1:32" ht="15" hidden="1" customHeight="1" x14ac:dyDescent="0.2">
      <c r="C233" s="58" t="str">
        <f>IF(O233&gt;0,1,"")</f>
        <v/>
      </c>
      <c r="D233" s="118"/>
      <c r="E233" s="118"/>
      <c r="F233" s="118"/>
      <c r="G233" s="118"/>
      <c r="H233" s="114"/>
      <c r="I233" s="114"/>
      <c r="J233" s="114"/>
      <c r="K233" s="121"/>
      <c r="L233" s="333"/>
      <c r="M233" s="334"/>
      <c r="N233" s="138"/>
      <c r="O233" s="26">
        <f t="shared" ref="O233:O272" si="6">IF(COUNTA(D233:M233)=0,0,1)</f>
        <v>0</v>
      </c>
      <c r="P233" s="28"/>
      <c r="Q233" s="44"/>
      <c r="AA233" s="54"/>
      <c r="AB233" s="54"/>
      <c r="AC233" s="54"/>
      <c r="AD233" s="54"/>
      <c r="AE233" s="54"/>
      <c r="AF233" s="54"/>
    </row>
    <row r="234" spans="1:32" ht="15" hidden="1" customHeight="1" x14ac:dyDescent="0.2">
      <c r="A234" s="28" t="s">
        <v>267</v>
      </c>
      <c r="C234" s="58" t="str">
        <f t="shared" ref="C234:C272" si="7">IF(O234&gt;0,1+C233,"")</f>
        <v/>
      </c>
      <c r="D234" s="118"/>
      <c r="E234" s="118"/>
      <c r="F234" s="118"/>
      <c r="G234" s="118"/>
      <c r="H234" s="118"/>
      <c r="I234" s="118"/>
      <c r="J234" s="118"/>
      <c r="K234" s="118"/>
      <c r="L234" s="327"/>
      <c r="M234" s="328"/>
      <c r="N234" s="138"/>
      <c r="O234" s="26">
        <f t="shared" si="6"/>
        <v>0</v>
      </c>
      <c r="P234" s="28" t="s">
        <v>268</v>
      </c>
      <c r="Q234" s="44" t="s">
        <v>165</v>
      </c>
      <c r="AA234" s="54"/>
      <c r="AB234" s="54"/>
      <c r="AC234" s="54"/>
      <c r="AD234" s="54"/>
      <c r="AE234" s="54"/>
      <c r="AF234" s="54"/>
    </row>
    <row r="235" spans="1:32" ht="15" hidden="1" customHeight="1" x14ac:dyDescent="0.2">
      <c r="A235" s="28" t="s">
        <v>268</v>
      </c>
      <c r="C235" s="58" t="str">
        <f t="shared" si="7"/>
        <v/>
      </c>
      <c r="D235" s="118"/>
      <c r="E235" s="118"/>
      <c r="F235" s="118"/>
      <c r="G235" s="118"/>
      <c r="H235" s="118"/>
      <c r="I235" s="118"/>
      <c r="J235" s="118"/>
      <c r="K235" s="118"/>
      <c r="L235" s="327"/>
      <c r="M235" s="328"/>
      <c r="N235" s="138"/>
      <c r="O235" s="26">
        <f t="shared" si="6"/>
        <v>0</v>
      </c>
      <c r="P235" s="28" t="s">
        <v>167</v>
      </c>
      <c r="Q235" s="26" t="s">
        <v>120</v>
      </c>
      <c r="AA235" s="54"/>
      <c r="AB235" s="54"/>
      <c r="AC235" s="54"/>
      <c r="AD235" s="54"/>
      <c r="AE235" s="54"/>
      <c r="AF235" s="54"/>
    </row>
    <row r="236" spans="1:32" ht="15" hidden="1" customHeight="1" x14ac:dyDescent="0.2">
      <c r="A236" s="28" t="s">
        <v>166</v>
      </c>
      <c r="C236" s="58" t="str">
        <f t="shared" si="7"/>
        <v/>
      </c>
      <c r="D236" s="118"/>
      <c r="E236" s="118"/>
      <c r="F236" s="118"/>
      <c r="G236" s="118"/>
      <c r="H236" s="118"/>
      <c r="I236" s="118"/>
      <c r="J236" s="118"/>
      <c r="K236" s="118"/>
      <c r="L236" s="327"/>
      <c r="M236" s="328"/>
      <c r="N236" s="138"/>
      <c r="O236" s="26">
        <f t="shared" si="6"/>
        <v>0</v>
      </c>
      <c r="P236" s="28" t="s">
        <v>119</v>
      </c>
      <c r="Q236" s="26" t="s">
        <v>167</v>
      </c>
      <c r="AA236" s="54"/>
      <c r="AB236" s="54"/>
      <c r="AC236" s="54"/>
      <c r="AD236" s="54"/>
      <c r="AE236" s="54"/>
      <c r="AF236" s="54"/>
    </row>
    <row r="237" spans="1:32" ht="15" hidden="1" customHeight="1" x14ac:dyDescent="0.2">
      <c r="A237" s="28" t="s">
        <v>167</v>
      </c>
      <c r="C237" s="58" t="str">
        <f t="shared" si="7"/>
        <v/>
      </c>
      <c r="D237" s="118"/>
      <c r="E237" s="118"/>
      <c r="F237" s="118"/>
      <c r="G237" s="118"/>
      <c r="H237" s="118"/>
      <c r="I237" s="118"/>
      <c r="J237" s="118"/>
      <c r="K237" s="118"/>
      <c r="L237" s="327"/>
      <c r="M237" s="328"/>
      <c r="N237" s="138"/>
      <c r="O237" s="26">
        <f t="shared" si="6"/>
        <v>0</v>
      </c>
      <c r="P237" s="28" t="s">
        <v>166</v>
      </c>
      <c r="Q237" s="26" t="s">
        <v>119</v>
      </c>
      <c r="AA237" s="54"/>
      <c r="AB237" s="54"/>
      <c r="AC237" s="54"/>
      <c r="AD237" s="54"/>
      <c r="AE237" s="54"/>
      <c r="AF237" s="54"/>
    </row>
    <row r="238" spans="1:32" ht="15" hidden="1" customHeight="1" x14ac:dyDescent="0.2">
      <c r="A238" s="28" t="s">
        <v>119</v>
      </c>
      <c r="C238" s="58" t="str">
        <f t="shared" si="7"/>
        <v/>
      </c>
      <c r="D238" s="118"/>
      <c r="E238" s="118"/>
      <c r="F238" s="118"/>
      <c r="G238" s="118"/>
      <c r="H238" s="118"/>
      <c r="I238" s="118"/>
      <c r="J238" s="118"/>
      <c r="K238" s="118"/>
      <c r="L238" s="327"/>
      <c r="M238" s="328"/>
      <c r="N238" s="138"/>
      <c r="O238" s="26">
        <f t="shared" si="6"/>
        <v>0</v>
      </c>
      <c r="P238" s="28" t="s">
        <v>120</v>
      </c>
      <c r="Q238" s="26" t="s">
        <v>166</v>
      </c>
      <c r="AA238" s="54"/>
      <c r="AB238" s="54"/>
      <c r="AC238" s="54"/>
      <c r="AD238" s="54"/>
      <c r="AE238" s="54"/>
      <c r="AF238" s="54"/>
    </row>
    <row r="239" spans="1:32" ht="15" hidden="1" customHeight="1" x14ac:dyDescent="0.2">
      <c r="A239" s="28" t="s">
        <v>120</v>
      </c>
      <c r="C239" s="58" t="str">
        <f t="shared" si="7"/>
        <v/>
      </c>
      <c r="D239" s="118"/>
      <c r="E239" s="118"/>
      <c r="F239" s="118"/>
      <c r="G239" s="118"/>
      <c r="H239" s="118"/>
      <c r="I239" s="118"/>
      <c r="J239" s="118"/>
      <c r="K239" s="118"/>
      <c r="L239" s="327"/>
      <c r="M239" s="328"/>
      <c r="N239" s="138"/>
      <c r="O239" s="26">
        <f t="shared" si="6"/>
        <v>0</v>
      </c>
      <c r="P239" s="28" t="s">
        <v>267</v>
      </c>
      <c r="Q239" s="26" t="s">
        <v>119</v>
      </c>
      <c r="AA239" s="54"/>
      <c r="AB239" s="54"/>
      <c r="AC239" s="54"/>
      <c r="AD239" s="54"/>
      <c r="AE239" s="54"/>
      <c r="AF239" s="54"/>
    </row>
    <row r="240" spans="1:32" ht="15" hidden="1" customHeight="1" x14ac:dyDescent="0.2">
      <c r="C240" s="58" t="str">
        <f t="shared" si="7"/>
        <v/>
      </c>
      <c r="D240" s="118"/>
      <c r="E240" s="118"/>
      <c r="F240" s="118"/>
      <c r="G240" s="118"/>
      <c r="H240" s="118"/>
      <c r="I240" s="118"/>
      <c r="J240" s="118"/>
      <c r="K240" s="118"/>
      <c r="L240" s="327"/>
      <c r="M240" s="328"/>
      <c r="N240" s="138"/>
      <c r="O240" s="26">
        <f t="shared" si="6"/>
        <v>0</v>
      </c>
      <c r="AA240" s="54"/>
      <c r="AB240" s="54"/>
      <c r="AC240" s="54"/>
      <c r="AD240" s="54"/>
      <c r="AE240" s="54"/>
      <c r="AF240" s="54"/>
    </row>
    <row r="241" spans="3:32" ht="15" hidden="1" customHeight="1" x14ac:dyDescent="0.2">
      <c r="C241" s="58" t="str">
        <f t="shared" si="7"/>
        <v/>
      </c>
      <c r="D241" s="118"/>
      <c r="E241" s="118"/>
      <c r="F241" s="118"/>
      <c r="G241" s="118"/>
      <c r="H241" s="118"/>
      <c r="I241" s="118"/>
      <c r="J241" s="118"/>
      <c r="K241" s="118"/>
      <c r="L241" s="327"/>
      <c r="M241" s="328"/>
      <c r="N241" s="138"/>
      <c r="O241" s="26">
        <f t="shared" si="6"/>
        <v>0</v>
      </c>
      <c r="AA241" s="54"/>
      <c r="AB241" s="54"/>
      <c r="AC241" s="54"/>
      <c r="AD241" s="54"/>
      <c r="AE241" s="54"/>
      <c r="AF241" s="54"/>
    </row>
    <row r="242" spans="3:32" ht="15" hidden="1" customHeight="1" x14ac:dyDescent="0.2">
      <c r="C242" s="58" t="str">
        <f t="shared" si="7"/>
        <v/>
      </c>
      <c r="D242" s="118"/>
      <c r="E242" s="118"/>
      <c r="F242" s="118"/>
      <c r="G242" s="118"/>
      <c r="H242" s="118"/>
      <c r="I242" s="118"/>
      <c r="J242" s="118"/>
      <c r="K242" s="118"/>
      <c r="L242" s="327"/>
      <c r="M242" s="328"/>
      <c r="N242" s="138"/>
      <c r="O242" s="26">
        <f t="shared" si="6"/>
        <v>0</v>
      </c>
      <c r="AA242" s="54"/>
      <c r="AB242" s="54"/>
      <c r="AC242" s="54"/>
      <c r="AD242" s="54"/>
      <c r="AE242" s="54"/>
      <c r="AF242" s="54"/>
    </row>
    <row r="243" spans="3:32" ht="15" hidden="1" customHeight="1" x14ac:dyDescent="0.2">
      <c r="C243" s="58" t="str">
        <f t="shared" si="7"/>
        <v/>
      </c>
      <c r="D243" s="118"/>
      <c r="E243" s="118"/>
      <c r="F243" s="118"/>
      <c r="G243" s="118"/>
      <c r="H243" s="118"/>
      <c r="I243" s="118"/>
      <c r="J243" s="118"/>
      <c r="K243" s="118"/>
      <c r="L243" s="327"/>
      <c r="M243" s="328"/>
      <c r="N243" s="138"/>
      <c r="O243" s="26">
        <f t="shared" si="6"/>
        <v>0</v>
      </c>
      <c r="AA243" s="54"/>
      <c r="AB243" s="54"/>
      <c r="AC243" s="54"/>
      <c r="AD243" s="54"/>
      <c r="AE243" s="54"/>
      <c r="AF243" s="54"/>
    </row>
    <row r="244" spans="3:32" ht="15" hidden="1" customHeight="1" x14ac:dyDescent="0.2">
      <c r="C244" s="58" t="str">
        <f t="shared" si="7"/>
        <v/>
      </c>
      <c r="D244" s="118"/>
      <c r="E244" s="118"/>
      <c r="F244" s="118"/>
      <c r="G244" s="118"/>
      <c r="H244" s="118"/>
      <c r="I244" s="118"/>
      <c r="J244" s="118"/>
      <c r="K244" s="118"/>
      <c r="L244" s="327"/>
      <c r="M244" s="328"/>
      <c r="N244" s="138"/>
      <c r="O244" s="26">
        <f t="shared" si="6"/>
        <v>0</v>
      </c>
      <c r="AA244" s="54"/>
      <c r="AB244" s="54"/>
      <c r="AC244" s="54"/>
      <c r="AD244" s="54"/>
      <c r="AE244" s="54"/>
      <c r="AF244" s="54"/>
    </row>
    <row r="245" spans="3:32" ht="15" hidden="1" customHeight="1" x14ac:dyDescent="0.2">
      <c r="C245" s="58" t="str">
        <f t="shared" si="7"/>
        <v/>
      </c>
      <c r="D245" s="118"/>
      <c r="E245" s="118"/>
      <c r="F245" s="118"/>
      <c r="G245" s="118"/>
      <c r="H245" s="118"/>
      <c r="I245" s="118"/>
      <c r="J245" s="118"/>
      <c r="K245" s="118"/>
      <c r="L245" s="327"/>
      <c r="M245" s="328"/>
      <c r="N245" s="138"/>
      <c r="O245" s="26">
        <f t="shared" si="6"/>
        <v>0</v>
      </c>
      <c r="AA245" s="54"/>
      <c r="AB245" s="54"/>
      <c r="AC245" s="54"/>
      <c r="AD245" s="54"/>
      <c r="AE245" s="54"/>
      <c r="AF245" s="54"/>
    </row>
    <row r="246" spans="3:32" ht="15" hidden="1" customHeight="1" x14ac:dyDescent="0.2">
      <c r="C246" s="58" t="str">
        <f t="shared" si="7"/>
        <v/>
      </c>
      <c r="D246" s="118"/>
      <c r="E246" s="118"/>
      <c r="F246" s="118"/>
      <c r="G246" s="118"/>
      <c r="H246" s="118"/>
      <c r="I246" s="118"/>
      <c r="J246" s="118"/>
      <c r="K246" s="118"/>
      <c r="L246" s="327"/>
      <c r="M246" s="328"/>
      <c r="N246" s="138"/>
      <c r="O246" s="26">
        <f t="shared" si="6"/>
        <v>0</v>
      </c>
      <c r="AA246" s="54"/>
      <c r="AB246" s="54"/>
      <c r="AC246" s="54"/>
      <c r="AD246" s="54"/>
      <c r="AE246" s="54"/>
      <c r="AF246" s="54"/>
    </row>
    <row r="247" spans="3:32" ht="15" hidden="1" customHeight="1" x14ac:dyDescent="0.2">
      <c r="C247" s="58" t="str">
        <f t="shared" si="7"/>
        <v/>
      </c>
      <c r="D247" s="118"/>
      <c r="E247" s="118"/>
      <c r="F247" s="118"/>
      <c r="G247" s="118"/>
      <c r="H247" s="118"/>
      <c r="I247" s="118"/>
      <c r="J247" s="118"/>
      <c r="K247" s="118"/>
      <c r="L247" s="327"/>
      <c r="M247" s="328"/>
      <c r="N247" s="138"/>
      <c r="O247" s="26">
        <f t="shared" si="6"/>
        <v>0</v>
      </c>
      <c r="AA247" s="54"/>
      <c r="AB247" s="54"/>
      <c r="AC247" s="54"/>
      <c r="AD247" s="54"/>
      <c r="AE247" s="54"/>
      <c r="AF247" s="54"/>
    </row>
    <row r="248" spans="3:32" ht="15" hidden="1" customHeight="1" x14ac:dyDescent="0.2">
      <c r="C248" s="58" t="str">
        <f t="shared" si="7"/>
        <v/>
      </c>
      <c r="D248" s="118"/>
      <c r="E248" s="118"/>
      <c r="F248" s="118"/>
      <c r="G248" s="118"/>
      <c r="H248" s="118"/>
      <c r="I248" s="118"/>
      <c r="J248" s="118"/>
      <c r="K248" s="118"/>
      <c r="L248" s="327"/>
      <c r="M248" s="328"/>
      <c r="N248" s="138"/>
      <c r="O248" s="26">
        <f t="shared" si="6"/>
        <v>0</v>
      </c>
      <c r="AA248" s="54"/>
      <c r="AB248" s="54"/>
      <c r="AC248" s="54"/>
      <c r="AD248" s="54"/>
      <c r="AE248" s="54"/>
      <c r="AF248" s="54"/>
    </row>
    <row r="249" spans="3:32" ht="15" hidden="1" customHeight="1" x14ac:dyDescent="0.2">
      <c r="C249" s="58" t="str">
        <f t="shared" si="7"/>
        <v/>
      </c>
      <c r="D249" s="118"/>
      <c r="E249" s="118"/>
      <c r="F249" s="118"/>
      <c r="G249" s="118"/>
      <c r="H249" s="118"/>
      <c r="I249" s="118"/>
      <c r="J249" s="118"/>
      <c r="K249" s="118"/>
      <c r="L249" s="327"/>
      <c r="M249" s="328"/>
      <c r="N249" s="138"/>
      <c r="O249" s="26">
        <f t="shared" si="6"/>
        <v>0</v>
      </c>
      <c r="AA249" s="54"/>
      <c r="AB249" s="54"/>
      <c r="AC249" s="54"/>
      <c r="AD249" s="54"/>
      <c r="AE249" s="54"/>
      <c r="AF249" s="54"/>
    </row>
    <row r="250" spans="3:32" ht="15" hidden="1" customHeight="1" x14ac:dyDescent="0.2">
      <c r="C250" s="58" t="str">
        <f t="shared" si="7"/>
        <v/>
      </c>
      <c r="D250" s="118"/>
      <c r="E250" s="118"/>
      <c r="F250" s="118"/>
      <c r="G250" s="118"/>
      <c r="H250" s="118"/>
      <c r="I250" s="118"/>
      <c r="J250" s="118"/>
      <c r="K250" s="118"/>
      <c r="L250" s="327"/>
      <c r="M250" s="328"/>
      <c r="N250" s="138"/>
      <c r="O250" s="26">
        <f t="shared" si="6"/>
        <v>0</v>
      </c>
      <c r="AA250" s="54"/>
      <c r="AB250" s="54"/>
      <c r="AC250" s="54"/>
      <c r="AD250" s="54"/>
      <c r="AE250" s="54"/>
      <c r="AF250" s="54"/>
    </row>
    <row r="251" spans="3:32" ht="15" hidden="1" customHeight="1" x14ac:dyDescent="0.2">
      <c r="C251" s="58" t="str">
        <f t="shared" si="7"/>
        <v/>
      </c>
      <c r="D251" s="118"/>
      <c r="E251" s="118"/>
      <c r="F251" s="118"/>
      <c r="G251" s="118"/>
      <c r="H251" s="118"/>
      <c r="I251" s="118"/>
      <c r="J251" s="118"/>
      <c r="K251" s="118"/>
      <c r="L251" s="327"/>
      <c r="M251" s="328"/>
      <c r="N251" s="138"/>
      <c r="O251" s="26">
        <f t="shared" si="6"/>
        <v>0</v>
      </c>
      <c r="AA251" s="54"/>
      <c r="AB251" s="54"/>
      <c r="AC251" s="54"/>
      <c r="AD251" s="54"/>
      <c r="AE251" s="54"/>
      <c r="AF251" s="54"/>
    </row>
    <row r="252" spans="3:32" ht="15" hidden="1" customHeight="1" x14ac:dyDescent="0.2">
      <c r="C252" s="58" t="str">
        <f t="shared" si="7"/>
        <v/>
      </c>
      <c r="D252" s="118"/>
      <c r="E252" s="118"/>
      <c r="F252" s="118"/>
      <c r="G252" s="118"/>
      <c r="H252" s="118"/>
      <c r="I252" s="118"/>
      <c r="J252" s="118"/>
      <c r="K252" s="118"/>
      <c r="L252" s="327"/>
      <c r="M252" s="328"/>
      <c r="N252" s="138"/>
      <c r="O252" s="26">
        <f t="shared" si="6"/>
        <v>0</v>
      </c>
      <c r="AA252" s="54"/>
      <c r="AB252" s="54"/>
      <c r="AC252" s="54"/>
      <c r="AD252" s="54"/>
      <c r="AE252" s="54"/>
      <c r="AF252" s="54"/>
    </row>
    <row r="253" spans="3:32" ht="15" hidden="1" customHeight="1" x14ac:dyDescent="0.2">
      <c r="C253" s="58" t="str">
        <f t="shared" si="7"/>
        <v/>
      </c>
      <c r="D253" s="118"/>
      <c r="E253" s="118"/>
      <c r="F253" s="118"/>
      <c r="G253" s="118"/>
      <c r="H253" s="118"/>
      <c r="I253" s="118"/>
      <c r="J253" s="118"/>
      <c r="K253" s="118"/>
      <c r="L253" s="327"/>
      <c r="M253" s="328"/>
      <c r="N253" s="138"/>
      <c r="O253" s="26">
        <f t="shared" si="6"/>
        <v>0</v>
      </c>
      <c r="AA253" s="54"/>
      <c r="AB253" s="54"/>
      <c r="AC253" s="54"/>
      <c r="AD253" s="54"/>
      <c r="AE253" s="54"/>
      <c r="AF253" s="54"/>
    </row>
    <row r="254" spans="3:32" ht="15" hidden="1" customHeight="1" x14ac:dyDescent="0.2">
      <c r="C254" s="58" t="str">
        <f t="shared" si="7"/>
        <v/>
      </c>
      <c r="D254" s="118"/>
      <c r="E254" s="118"/>
      <c r="F254" s="118"/>
      <c r="G254" s="118"/>
      <c r="H254" s="118"/>
      <c r="I254" s="118"/>
      <c r="J254" s="118"/>
      <c r="K254" s="118"/>
      <c r="L254" s="327"/>
      <c r="M254" s="328"/>
      <c r="N254" s="138"/>
      <c r="O254" s="26">
        <f t="shared" si="6"/>
        <v>0</v>
      </c>
      <c r="AA254" s="54"/>
      <c r="AB254" s="54"/>
      <c r="AC254" s="54"/>
      <c r="AD254" s="54"/>
      <c r="AE254" s="54"/>
      <c r="AF254" s="54"/>
    </row>
    <row r="255" spans="3:32" ht="15" hidden="1" customHeight="1" x14ac:dyDescent="0.2">
      <c r="C255" s="58" t="str">
        <f t="shared" si="7"/>
        <v/>
      </c>
      <c r="D255" s="118"/>
      <c r="E255" s="118"/>
      <c r="F255" s="118"/>
      <c r="G255" s="118"/>
      <c r="H255" s="118"/>
      <c r="I255" s="118"/>
      <c r="J255" s="118"/>
      <c r="K255" s="118"/>
      <c r="L255" s="327"/>
      <c r="M255" s="328"/>
      <c r="N255" s="138"/>
      <c r="O255" s="26">
        <f t="shared" si="6"/>
        <v>0</v>
      </c>
      <c r="AA255" s="54"/>
      <c r="AB255" s="54"/>
      <c r="AC255" s="54"/>
      <c r="AD255" s="54"/>
      <c r="AE255" s="54"/>
      <c r="AF255" s="54"/>
    </row>
    <row r="256" spans="3:32" ht="15" hidden="1" customHeight="1" x14ac:dyDescent="0.2">
      <c r="C256" s="58" t="str">
        <f t="shared" si="7"/>
        <v/>
      </c>
      <c r="D256" s="118"/>
      <c r="E256" s="118"/>
      <c r="F256" s="118"/>
      <c r="G256" s="118"/>
      <c r="H256" s="118"/>
      <c r="I256" s="118"/>
      <c r="J256" s="118"/>
      <c r="K256" s="118"/>
      <c r="L256" s="327"/>
      <c r="M256" s="328"/>
      <c r="N256" s="138"/>
      <c r="O256" s="26">
        <f t="shared" si="6"/>
        <v>0</v>
      </c>
      <c r="AA256" s="54"/>
      <c r="AB256" s="54"/>
      <c r="AC256" s="54"/>
      <c r="AD256" s="54"/>
      <c r="AE256" s="54"/>
      <c r="AF256" s="54"/>
    </row>
    <row r="257" spans="3:32" ht="15" hidden="1" customHeight="1" x14ac:dyDescent="0.2">
      <c r="C257" s="58" t="str">
        <f t="shared" si="7"/>
        <v/>
      </c>
      <c r="D257" s="118"/>
      <c r="E257" s="118"/>
      <c r="F257" s="118"/>
      <c r="G257" s="118"/>
      <c r="H257" s="118"/>
      <c r="I257" s="118"/>
      <c r="J257" s="118"/>
      <c r="K257" s="118"/>
      <c r="L257" s="327"/>
      <c r="M257" s="328"/>
      <c r="N257" s="138"/>
      <c r="O257" s="26">
        <f t="shared" si="6"/>
        <v>0</v>
      </c>
      <c r="AA257" s="54"/>
      <c r="AB257" s="54"/>
      <c r="AC257" s="54"/>
      <c r="AD257" s="54"/>
      <c r="AE257" s="54"/>
      <c r="AF257" s="54"/>
    </row>
    <row r="258" spans="3:32" ht="15" hidden="1" customHeight="1" x14ac:dyDescent="0.2">
      <c r="C258" s="58" t="str">
        <f t="shared" si="7"/>
        <v/>
      </c>
      <c r="D258" s="118"/>
      <c r="E258" s="118"/>
      <c r="F258" s="118"/>
      <c r="G258" s="118"/>
      <c r="H258" s="118"/>
      <c r="I258" s="118"/>
      <c r="J258" s="118"/>
      <c r="K258" s="118"/>
      <c r="L258" s="327"/>
      <c r="M258" s="328"/>
      <c r="N258" s="138"/>
      <c r="O258" s="26">
        <f t="shared" si="6"/>
        <v>0</v>
      </c>
      <c r="AA258" s="54"/>
      <c r="AB258" s="54"/>
      <c r="AC258" s="54"/>
      <c r="AD258" s="54"/>
      <c r="AE258" s="54"/>
      <c r="AF258" s="54"/>
    </row>
    <row r="259" spans="3:32" ht="15" hidden="1" customHeight="1" x14ac:dyDescent="0.2">
      <c r="C259" s="58" t="str">
        <f t="shared" si="7"/>
        <v/>
      </c>
      <c r="D259" s="118"/>
      <c r="E259" s="118"/>
      <c r="F259" s="118"/>
      <c r="G259" s="118"/>
      <c r="H259" s="118"/>
      <c r="I259" s="118"/>
      <c r="J259" s="118"/>
      <c r="K259" s="118"/>
      <c r="L259" s="327"/>
      <c r="M259" s="328"/>
      <c r="N259" s="138"/>
      <c r="O259" s="26">
        <f t="shared" si="6"/>
        <v>0</v>
      </c>
      <c r="AA259" s="54"/>
      <c r="AB259" s="54"/>
      <c r="AC259" s="54"/>
      <c r="AD259" s="54"/>
      <c r="AE259" s="54"/>
      <c r="AF259" s="54"/>
    </row>
    <row r="260" spans="3:32" ht="15" hidden="1" customHeight="1" x14ac:dyDescent="0.2">
      <c r="C260" s="58" t="str">
        <f t="shared" si="7"/>
        <v/>
      </c>
      <c r="D260" s="118"/>
      <c r="E260" s="118"/>
      <c r="F260" s="118"/>
      <c r="G260" s="118"/>
      <c r="H260" s="118"/>
      <c r="I260" s="118"/>
      <c r="J260" s="118"/>
      <c r="K260" s="118"/>
      <c r="L260" s="327"/>
      <c r="M260" s="328"/>
      <c r="N260" s="138"/>
      <c r="O260" s="26">
        <f t="shared" si="6"/>
        <v>0</v>
      </c>
      <c r="AA260" s="54"/>
      <c r="AB260" s="54"/>
      <c r="AC260" s="54"/>
      <c r="AD260" s="54"/>
      <c r="AE260" s="54"/>
      <c r="AF260" s="54"/>
    </row>
    <row r="261" spans="3:32" ht="15" hidden="1" customHeight="1" x14ac:dyDescent="0.2">
      <c r="C261" s="58" t="str">
        <f t="shared" si="7"/>
        <v/>
      </c>
      <c r="D261" s="118"/>
      <c r="E261" s="118"/>
      <c r="F261" s="118"/>
      <c r="G261" s="118"/>
      <c r="H261" s="118"/>
      <c r="I261" s="118"/>
      <c r="J261" s="118"/>
      <c r="K261" s="118"/>
      <c r="L261" s="327"/>
      <c r="M261" s="328"/>
      <c r="N261" s="138"/>
      <c r="O261" s="26">
        <f t="shared" si="6"/>
        <v>0</v>
      </c>
      <c r="AA261" s="54"/>
      <c r="AB261" s="54"/>
      <c r="AC261" s="54"/>
      <c r="AD261" s="54"/>
      <c r="AE261" s="54"/>
      <c r="AF261" s="54"/>
    </row>
    <row r="262" spans="3:32" ht="15" hidden="1" customHeight="1" x14ac:dyDescent="0.2">
      <c r="C262" s="58" t="str">
        <f t="shared" si="7"/>
        <v/>
      </c>
      <c r="D262" s="118"/>
      <c r="E262" s="118"/>
      <c r="F262" s="118"/>
      <c r="G262" s="118"/>
      <c r="H262" s="118"/>
      <c r="I262" s="118"/>
      <c r="J262" s="118"/>
      <c r="K262" s="118"/>
      <c r="L262" s="327"/>
      <c r="M262" s="328"/>
      <c r="N262" s="138"/>
      <c r="O262" s="26">
        <f t="shared" si="6"/>
        <v>0</v>
      </c>
      <c r="AA262" s="54"/>
      <c r="AB262" s="54"/>
      <c r="AC262" s="54"/>
      <c r="AD262" s="54"/>
      <c r="AE262" s="54"/>
      <c r="AF262" s="54"/>
    </row>
    <row r="263" spans="3:32" ht="15" hidden="1" customHeight="1" x14ac:dyDescent="0.2">
      <c r="C263" s="58" t="str">
        <f t="shared" si="7"/>
        <v/>
      </c>
      <c r="D263" s="118"/>
      <c r="E263" s="118"/>
      <c r="F263" s="118"/>
      <c r="G263" s="118"/>
      <c r="H263" s="118"/>
      <c r="I263" s="118"/>
      <c r="J263" s="118"/>
      <c r="K263" s="118"/>
      <c r="L263" s="327"/>
      <c r="M263" s="328"/>
      <c r="N263" s="138"/>
      <c r="O263" s="26">
        <f t="shared" si="6"/>
        <v>0</v>
      </c>
      <c r="AA263" s="54"/>
      <c r="AB263" s="54"/>
      <c r="AC263" s="54"/>
      <c r="AD263" s="54"/>
      <c r="AE263" s="54"/>
      <c r="AF263" s="54"/>
    </row>
    <row r="264" spans="3:32" ht="15" hidden="1" customHeight="1" x14ac:dyDescent="0.2">
      <c r="C264" s="58" t="str">
        <f t="shared" si="7"/>
        <v/>
      </c>
      <c r="D264" s="118"/>
      <c r="E264" s="118"/>
      <c r="F264" s="118"/>
      <c r="G264" s="118"/>
      <c r="H264" s="118"/>
      <c r="I264" s="118"/>
      <c r="J264" s="118"/>
      <c r="K264" s="118"/>
      <c r="L264" s="327"/>
      <c r="M264" s="328"/>
      <c r="N264" s="138"/>
      <c r="O264" s="26">
        <f t="shared" si="6"/>
        <v>0</v>
      </c>
      <c r="AA264" s="54"/>
      <c r="AB264" s="54"/>
      <c r="AC264" s="54"/>
      <c r="AD264" s="54"/>
      <c r="AE264" s="54"/>
      <c r="AF264" s="54"/>
    </row>
    <row r="265" spans="3:32" ht="15" hidden="1" customHeight="1" x14ac:dyDescent="0.2">
      <c r="C265" s="58" t="str">
        <f t="shared" si="7"/>
        <v/>
      </c>
      <c r="D265" s="118"/>
      <c r="E265" s="118"/>
      <c r="F265" s="118"/>
      <c r="G265" s="118"/>
      <c r="H265" s="118"/>
      <c r="I265" s="118"/>
      <c r="J265" s="118"/>
      <c r="K265" s="118"/>
      <c r="L265" s="327"/>
      <c r="M265" s="328"/>
      <c r="N265" s="138"/>
      <c r="O265" s="26">
        <f t="shared" si="6"/>
        <v>0</v>
      </c>
      <c r="AA265" s="54"/>
      <c r="AB265" s="54"/>
      <c r="AC265" s="54"/>
      <c r="AD265" s="54"/>
      <c r="AE265" s="54"/>
      <c r="AF265" s="54"/>
    </row>
    <row r="266" spans="3:32" ht="15" hidden="1" customHeight="1" x14ac:dyDescent="0.2">
      <c r="C266" s="58" t="str">
        <f t="shared" si="7"/>
        <v/>
      </c>
      <c r="D266" s="118"/>
      <c r="E266" s="118"/>
      <c r="F266" s="118"/>
      <c r="G266" s="118"/>
      <c r="H266" s="118"/>
      <c r="I266" s="118"/>
      <c r="J266" s="118"/>
      <c r="K266" s="118"/>
      <c r="L266" s="327"/>
      <c r="M266" s="328"/>
      <c r="N266" s="138"/>
      <c r="O266" s="26">
        <f t="shared" si="6"/>
        <v>0</v>
      </c>
      <c r="AA266" s="54"/>
      <c r="AB266" s="54"/>
      <c r="AC266" s="54"/>
      <c r="AD266" s="54"/>
      <c r="AE266" s="54"/>
      <c r="AF266" s="54"/>
    </row>
    <row r="267" spans="3:32" ht="15" hidden="1" customHeight="1" x14ac:dyDescent="0.2">
      <c r="C267" s="58" t="str">
        <f t="shared" si="7"/>
        <v/>
      </c>
      <c r="D267" s="118"/>
      <c r="E267" s="118"/>
      <c r="F267" s="118"/>
      <c r="G267" s="118"/>
      <c r="H267" s="118"/>
      <c r="I267" s="118"/>
      <c r="J267" s="118"/>
      <c r="K267" s="118"/>
      <c r="L267" s="327"/>
      <c r="M267" s="328"/>
      <c r="N267" s="138"/>
      <c r="O267" s="26">
        <f t="shared" si="6"/>
        <v>0</v>
      </c>
      <c r="AA267" s="54"/>
      <c r="AB267" s="54"/>
      <c r="AC267" s="54"/>
      <c r="AD267" s="54"/>
      <c r="AE267" s="54"/>
      <c r="AF267" s="54"/>
    </row>
    <row r="268" spans="3:32" ht="15" hidden="1" customHeight="1" x14ac:dyDescent="0.2">
      <c r="C268" s="58" t="str">
        <f t="shared" si="7"/>
        <v/>
      </c>
      <c r="D268" s="118"/>
      <c r="E268" s="118"/>
      <c r="F268" s="118"/>
      <c r="G268" s="118"/>
      <c r="H268" s="118"/>
      <c r="I268" s="118"/>
      <c r="J268" s="118"/>
      <c r="K268" s="118"/>
      <c r="L268" s="327"/>
      <c r="M268" s="328"/>
      <c r="N268" s="138"/>
      <c r="O268" s="26">
        <f t="shared" si="6"/>
        <v>0</v>
      </c>
      <c r="AA268" s="54"/>
      <c r="AB268" s="54"/>
      <c r="AC268" s="54"/>
      <c r="AD268" s="54"/>
      <c r="AE268" s="54"/>
      <c r="AF268" s="54"/>
    </row>
    <row r="269" spans="3:32" ht="15" hidden="1" customHeight="1" x14ac:dyDescent="0.2">
      <c r="C269" s="58" t="str">
        <f t="shared" si="7"/>
        <v/>
      </c>
      <c r="D269" s="118"/>
      <c r="E269" s="118"/>
      <c r="F269" s="118"/>
      <c r="G269" s="118"/>
      <c r="H269" s="118"/>
      <c r="I269" s="118"/>
      <c r="J269" s="118"/>
      <c r="K269" s="118"/>
      <c r="L269" s="327"/>
      <c r="M269" s="328"/>
      <c r="N269" s="138"/>
      <c r="O269" s="26">
        <f t="shared" si="6"/>
        <v>0</v>
      </c>
      <c r="AA269" s="54"/>
      <c r="AB269" s="54"/>
      <c r="AC269" s="54"/>
      <c r="AD269" s="54"/>
      <c r="AE269" s="54"/>
      <c r="AF269" s="54"/>
    </row>
    <row r="270" spans="3:32" ht="15" hidden="1" customHeight="1" x14ac:dyDescent="0.2">
      <c r="C270" s="58" t="str">
        <f t="shared" si="7"/>
        <v/>
      </c>
      <c r="D270" s="118"/>
      <c r="E270" s="118"/>
      <c r="F270" s="118"/>
      <c r="G270" s="118"/>
      <c r="H270" s="118"/>
      <c r="I270" s="118"/>
      <c r="J270" s="118"/>
      <c r="K270" s="118"/>
      <c r="L270" s="327"/>
      <c r="M270" s="328"/>
      <c r="N270" s="138"/>
      <c r="O270" s="26">
        <f t="shared" si="6"/>
        <v>0</v>
      </c>
      <c r="AA270" s="54"/>
      <c r="AB270" s="54"/>
      <c r="AC270" s="54"/>
      <c r="AD270" s="54"/>
      <c r="AE270" s="54"/>
      <c r="AF270" s="54"/>
    </row>
    <row r="271" spans="3:32" ht="15" hidden="1" customHeight="1" x14ac:dyDescent="0.2">
      <c r="C271" s="58" t="str">
        <f t="shared" si="7"/>
        <v/>
      </c>
      <c r="D271" s="118"/>
      <c r="E271" s="118"/>
      <c r="F271" s="118"/>
      <c r="G271" s="118"/>
      <c r="H271" s="118"/>
      <c r="I271" s="118"/>
      <c r="J271" s="118"/>
      <c r="K271" s="118"/>
      <c r="L271" s="327"/>
      <c r="M271" s="328"/>
      <c r="N271" s="138"/>
      <c r="O271" s="26">
        <f t="shared" si="6"/>
        <v>0</v>
      </c>
      <c r="AA271" s="54"/>
      <c r="AB271" s="54"/>
      <c r="AC271" s="54"/>
      <c r="AD271" s="54"/>
      <c r="AE271" s="54"/>
      <c r="AF271" s="54"/>
    </row>
    <row r="272" spans="3:32" ht="15" hidden="1" customHeight="1" x14ac:dyDescent="0.2">
      <c r="C272" s="58" t="str">
        <f t="shared" si="7"/>
        <v/>
      </c>
      <c r="D272" s="118"/>
      <c r="E272" s="118"/>
      <c r="F272" s="118"/>
      <c r="G272" s="118"/>
      <c r="H272" s="118"/>
      <c r="I272" s="118"/>
      <c r="J272" s="118"/>
      <c r="K272" s="118"/>
      <c r="L272" s="327"/>
      <c r="M272" s="328"/>
      <c r="N272" s="138"/>
      <c r="O272" s="26">
        <f t="shared" si="6"/>
        <v>0</v>
      </c>
      <c r="AA272" s="54"/>
      <c r="AB272" s="54"/>
      <c r="AC272" s="54"/>
      <c r="AD272" s="54"/>
      <c r="AE272" s="54"/>
      <c r="AF272" s="54"/>
    </row>
    <row r="273" spans="1:32" ht="15" hidden="1" customHeight="1" x14ac:dyDescent="0.2">
      <c r="C273" s="331"/>
      <c r="D273" s="331"/>
      <c r="E273" s="331"/>
      <c r="F273" s="331"/>
      <c r="G273" s="331"/>
      <c r="H273" s="331"/>
      <c r="I273" s="331"/>
      <c r="J273" s="331"/>
      <c r="K273" s="331"/>
      <c r="L273" s="331"/>
      <c r="M273" s="331"/>
      <c r="N273" s="138"/>
      <c r="AA273" s="54"/>
      <c r="AB273" s="54"/>
      <c r="AC273" s="54"/>
      <c r="AD273" s="54"/>
      <c r="AE273" s="54"/>
      <c r="AF273" s="54"/>
    </row>
    <row r="274" spans="1:32" ht="15" hidden="1" customHeight="1" x14ac:dyDescent="0.2">
      <c r="C274" s="20" t="s">
        <v>125</v>
      </c>
      <c r="D274" s="286"/>
      <c r="E274" s="287"/>
      <c r="F274" s="287"/>
      <c r="G274" s="287"/>
      <c r="H274" s="287"/>
      <c r="I274" s="287"/>
      <c r="J274" s="287"/>
      <c r="K274" s="287"/>
      <c r="L274" s="287"/>
      <c r="M274" s="288"/>
      <c r="N274" s="138"/>
      <c r="AA274" s="54"/>
      <c r="AB274" s="54"/>
      <c r="AC274" s="54"/>
      <c r="AD274" s="54"/>
      <c r="AE274" s="54"/>
      <c r="AF274" s="54"/>
    </row>
    <row r="275" spans="1:32" ht="15" hidden="1" customHeight="1" x14ac:dyDescent="0.2">
      <c r="C275" s="295"/>
      <c r="D275" s="289"/>
      <c r="E275" s="290"/>
      <c r="F275" s="290"/>
      <c r="G275" s="290"/>
      <c r="H275" s="290"/>
      <c r="I275" s="290"/>
      <c r="J275" s="290"/>
      <c r="K275" s="290"/>
      <c r="L275" s="290"/>
      <c r="M275" s="291"/>
      <c r="N275" s="138"/>
      <c r="AA275" s="54"/>
      <c r="AB275" s="54"/>
      <c r="AC275" s="54"/>
      <c r="AD275" s="54"/>
      <c r="AE275" s="54"/>
      <c r="AF275" s="54"/>
    </row>
    <row r="276" spans="1:32" ht="15" hidden="1" customHeight="1" x14ac:dyDescent="0.2">
      <c r="C276" s="295"/>
      <c r="D276" s="289"/>
      <c r="E276" s="290"/>
      <c r="F276" s="290"/>
      <c r="G276" s="290"/>
      <c r="H276" s="290"/>
      <c r="I276" s="290"/>
      <c r="J276" s="290"/>
      <c r="K276" s="290"/>
      <c r="L276" s="290"/>
      <c r="M276" s="291"/>
      <c r="N276" s="138"/>
      <c r="AA276" s="54"/>
      <c r="AB276" s="54"/>
      <c r="AC276" s="54"/>
      <c r="AD276" s="54"/>
      <c r="AE276" s="54"/>
      <c r="AF276" s="54"/>
    </row>
    <row r="277" spans="1:32" ht="15" hidden="1" customHeight="1" x14ac:dyDescent="0.2">
      <c r="C277" s="295"/>
      <c r="D277" s="289"/>
      <c r="E277" s="290"/>
      <c r="F277" s="290"/>
      <c r="G277" s="290"/>
      <c r="H277" s="290"/>
      <c r="I277" s="290"/>
      <c r="J277" s="290"/>
      <c r="K277" s="290"/>
      <c r="L277" s="290"/>
      <c r="M277" s="291"/>
      <c r="N277" s="138"/>
      <c r="AA277" s="54"/>
      <c r="AB277" s="54"/>
      <c r="AC277" s="54"/>
      <c r="AD277" s="54"/>
      <c r="AE277" s="54"/>
      <c r="AF277" s="54"/>
    </row>
    <row r="278" spans="1:32" ht="15" hidden="1" customHeight="1" x14ac:dyDescent="0.2">
      <c r="C278" s="295"/>
      <c r="D278" s="292"/>
      <c r="E278" s="293"/>
      <c r="F278" s="293"/>
      <c r="G278" s="293"/>
      <c r="H278" s="293"/>
      <c r="I278" s="293"/>
      <c r="J278" s="293"/>
      <c r="K278" s="293"/>
      <c r="L278" s="293"/>
      <c r="M278" s="294"/>
      <c r="N278" s="138"/>
      <c r="AA278" s="54"/>
      <c r="AB278" s="54"/>
      <c r="AC278" s="54"/>
      <c r="AD278" s="54"/>
      <c r="AE278" s="54"/>
      <c r="AF278" s="54"/>
    </row>
    <row r="279" spans="1:32" ht="15" hidden="1" customHeight="1" thickBot="1" x14ac:dyDescent="0.25">
      <c r="C279" s="296"/>
      <c r="D279" s="296"/>
      <c r="E279" s="296"/>
      <c r="F279" s="296"/>
      <c r="G279" s="296"/>
      <c r="H279" s="296"/>
      <c r="I279" s="296"/>
      <c r="J279" s="296"/>
      <c r="K279" s="296"/>
      <c r="L279" s="296"/>
      <c r="M279" s="296"/>
      <c r="N279" s="138"/>
      <c r="AA279" s="54"/>
      <c r="AB279" s="54"/>
      <c r="AC279" s="54"/>
      <c r="AD279" s="54"/>
      <c r="AE279" s="54"/>
      <c r="AF279" s="54"/>
    </row>
    <row r="280" spans="1:32" ht="15" hidden="1" customHeight="1" thickBot="1" x14ac:dyDescent="0.25">
      <c r="C280" s="332"/>
      <c r="D280" s="332"/>
      <c r="E280" s="332"/>
      <c r="F280" s="332"/>
      <c r="G280" s="332"/>
      <c r="H280" s="332"/>
      <c r="I280" s="332"/>
      <c r="J280" s="332"/>
      <c r="K280" s="332"/>
      <c r="L280" s="332"/>
      <c r="M280" s="332"/>
      <c r="N280" s="138"/>
      <c r="AA280" s="54"/>
      <c r="AB280" s="54"/>
      <c r="AC280" s="54"/>
      <c r="AD280" s="54"/>
      <c r="AE280" s="54"/>
      <c r="AF280" s="54"/>
    </row>
    <row r="281" spans="1:32" ht="15" customHeight="1" thickBot="1" x14ac:dyDescent="0.25">
      <c r="A281" s="134" t="b">
        <v>0</v>
      </c>
      <c r="C281" s="304" t="s">
        <v>287</v>
      </c>
      <c r="D281" s="304"/>
      <c r="E281" s="304"/>
      <c r="F281" s="243"/>
      <c r="G281" s="243"/>
      <c r="H281" s="243"/>
      <c r="I281" s="243"/>
      <c r="J281" s="243"/>
      <c r="K281" s="243"/>
      <c r="L281" s="243"/>
      <c r="M281" s="243"/>
      <c r="N281" s="138"/>
      <c r="O281" s="26">
        <f>SUM(O285:O310)</f>
        <v>0</v>
      </c>
      <c r="AA281" s="54"/>
      <c r="AB281" s="54">
        <f>ROW()</f>
        <v>281</v>
      </c>
      <c r="AC281" s="54">
        <v>5</v>
      </c>
      <c r="AD281" s="54">
        <f>AB281+43</f>
        <v>324</v>
      </c>
      <c r="AE281" s="54">
        <f>AB281+1</f>
        <v>282</v>
      </c>
      <c r="AF281" s="54">
        <f>AB281+50</f>
        <v>331</v>
      </c>
    </row>
    <row r="282" spans="1:32" ht="15" hidden="1" customHeight="1" x14ac:dyDescent="0.2">
      <c r="A282" s="28" t="s">
        <v>328</v>
      </c>
      <c r="C282" s="316" t="s">
        <v>286</v>
      </c>
      <c r="D282" s="316"/>
      <c r="E282" s="316"/>
      <c r="F282" s="115" t="s">
        <v>147</v>
      </c>
      <c r="G282" s="317"/>
      <c r="H282" s="317"/>
      <c r="I282" s="317"/>
      <c r="J282" s="317"/>
      <c r="K282" s="317"/>
      <c r="L282" s="317" t="s">
        <v>275</v>
      </c>
      <c r="M282" s="317"/>
      <c r="N282" s="136" t="str">
        <f>IF(COUNTA(D285:D324,D326)=0,"XXX","")</f>
        <v>XXX</v>
      </c>
      <c r="AA282" s="54"/>
      <c r="AB282" s="54"/>
      <c r="AC282" s="54"/>
      <c r="AD282" s="54"/>
      <c r="AE282" s="54"/>
      <c r="AF282" s="54"/>
    </row>
    <row r="283" spans="1:32" ht="15" hidden="1" customHeight="1" x14ac:dyDescent="0.2">
      <c r="A283" s="28" t="s">
        <v>329</v>
      </c>
      <c r="C283" s="163" t="s">
        <v>161</v>
      </c>
      <c r="D283" s="163" t="s">
        <v>277</v>
      </c>
      <c r="E283" s="163" t="s">
        <v>269</v>
      </c>
      <c r="F283" s="163" t="s">
        <v>99</v>
      </c>
      <c r="G283" s="163" t="s">
        <v>278</v>
      </c>
      <c r="H283" s="163" t="s">
        <v>271</v>
      </c>
      <c r="I283" s="209" t="s">
        <v>279</v>
      </c>
      <c r="J283" s="259"/>
      <c r="K283" s="163" t="s">
        <v>281</v>
      </c>
      <c r="L283" s="209" t="s">
        <v>45</v>
      </c>
      <c r="M283" s="259"/>
      <c r="N283" s="138"/>
      <c r="AA283" s="54"/>
      <c r="AB283" s="54"/>
      <c r="AC283" s="54"/>
      <c r="AD283" s="54"/>
      <c r="AE283" s="54"/>
      <c r="AF283" s="54"/>
    </row>
    <row r="284" spans="1:32" ht="15" hidden="1" customHeight="1" x14ac:dyDescent="0.2">
      <c r="A284" s="28" t="s">
        <v>330</v>
      </c>
      <c r="C284" s="164"/>
      <c r="D284" s="164"/>
      <c r="E284" s="164"/>
      <c r="F284" s="164"/>
      <c r="G284" s="164"/>
      <c r="H284" s="164"/>
      <c r="I284" s="211"/>
      <c r="J284" s="260"/>
      <c r="K284" s="164"/>
      <c r="L284" s="211"/>
      <c r="M284" s="260"/>
      <c r="N284" s="138"/>
      <c r="AA284" s="54"/>
      <c r="AB284" s="54"/>
      <c r="AC284" s="54"/>
      <c r="AD284" s="54"/>
      <c r="AE284" s="54"/>
      <c r="AF284" s="54"/>
    </row>
    <row r="285" spans="1:32" ht="15" hidden="1" customHeight="1" x14ac:dyDescent="0.2">
      <c r="A285" s="28" t="s">
        <v>331</v>
      </c>
      <c r="C285" s="58" t="str">
        <f>IF(O285&gt;0,1,"")</f>
        <v/>
      </c>
      <c r="D285" s="118"/>
      <c r="E285" s="118"/>
      <c r="F285" s="114"/>
      <c r="G285" s="114"/>
      <c r="H285" s="114"/>
      <c r="I285" s="313"/>
      <c r="J285" s="315"/>
      <c r="K285" s="120"/>
      <c r="L285" s="329"/>
      <c r="M285" s="330"/>
      <c r="N285" s="138"/>
      <c r="O285" s="26">
        <f t="shared" ref="O285:O324" si="8">IF(COUNTA(D285:M285)=0,0,1)</f>
        <v>0</v>
      </c>
      <c r="AA285" s="54"/>
      <c r="AB285" s="54"/>
      <c r="AC285" s="54"/>
      <c r="AD285" s="54"/>
      <c r="AE285" s="54"/>
      <c r="AF285" s="54"/>
    </row>
    <row r="286" spans="1:32" ht="15" hidden="1" customHeight="1" x14ac:dyDescent="0.2">
      <c r="C286" s="58" t="str">
        <f t="shared" ref="C286:C324" si="9">IF(O286&gt;0,1+C285,"")</f>
        <v/>
      </c>
      <c r="D286" s="118"/>
      <c r="E286" s="118"/>
      <c r="F286" s="114"/>
      <c r="G286" s="114"/>
      <c r="H286" s="114"/>
      <c r="I286" s="313"/>
      <c r="J286" s="315"/>
      <c r="K286" s="120"/>
      <c r="L286" s="327"/>
      <c r="M286" s="328"/>
      <c r="N286" s="138"/>
      <c r="O286" s="26">
        <f t="shared" si="8"/>
        <v>0</v>
      </c>
      <c r="AA286" s="54"/>
      <c r="AB286" s="54"/>
      <c r="AC286" s="54"/>
      <c r="AD286" s="54"/>
      <c r="AE286" s="54"/>
      <c r="AF286" s="54"/>
    </row>
    <row r="287" spans="1:32" ht="15" hidden="1" customHeight="1" x14ac:dyDescent="0.2">
      <c r="C287" s="58" t="str">
        <f t="shared" si="9"/>
        <v/>
      </c>
      <c r="D287" s="118"/>
      <c r="E287" s="118"/>
      <c r="F287" s="114"/>
      <c r="G287" s="114"/>
      <c r="H287" s="114"/>
      <c r="I287" s="313"/>
      <c r="J287" s="315"/>
      <c r="K287" s="120"/>
      <c r="L287" s="327"/>
      <c r="M287" s="328"/>
      <c r="N287" s="138"/>
      <c r="O287" s="26">
        <f t="shared" si="8"/>
        <v>0</v>
      </c>
      <c r="AA287" s="54"/>
      <c r="AB287" s="54"/>
      <c r="AC287" s="54"/>
      <c r="AD287" s="54"/>
      <c r="AE287" s="54"/>
      <c r="AF287" s="54"/>
    </row>
    <row r="288" spans="1:32" ht="15" hidden="1" customHeight="1" x14ac:dyDescent="0.2">
      <c r="C288" s="58" t="str">
        <f t="shared" si="9"/>
        <v/>
      </c>
      <c r="D288" s="118"/>
      <c r="E288" s="118"/>
      <c r="F288" s="114"/>
      <c r="G288" s="114"/>
      <c r="H288" s="114"/>
      <c r="I288" s="313"/>
      <c r="J288" s="315"/>
      <c r="K288" s="120"/>
      <c r="L288" s="327"/>
      <c r="M288" s="328"/>
      <c r="N288" s="138"/>
      <c r="O288" s="26">
        <f t="shared" si="8"/>
        <v>0</v>
      </c>
      <c r="AA288" s="54"/>
      <c r="AB288" s="54"/>
      <c r="AC288" s="54"/>
      <c r="AD288" s="54"/>
      <c r="AE288" s="54"/>
      <c r="AF288" s="54"/>
    </row>
    <row r="289" spans="1:32" ht="15" hidden="1" customHeight="1" x14ac:dyDescent="0.2">
      <c r="A289" s="28" t="s">
        <v>280</v>
      </c>
      <c r="C289" s="58" t="str">
        <f t="shared" si="9"/>
        <v/>
      </c>
      <c r="D289" s="118"/>
      <c r="E289" s="118"/>
      <c r="F289" s="114"/>
      <c r="G289" s="114"/>
      <c r="H289" s="114"/>
      <c r="I289" s="313"/>
      <c r="J289" s="315"/>
      <c r="K289" s="120"/>
      <c r="L289" s="327"/>
      <c r="M289" s="328"/>
      <c r="N289" s="138"/>
      <c r="O289" s="26">
        <f t="shared" si="8"/>
        <v>0</v>
      </c>
      <c r="AA289" s="54"/>
      <c r="AB289" s="54"/>
      <c r="AC289" s="54"/>
      <c r="AD289" s="54"/>
      <c r="AE289" s="54"/>
      <c r="AF289" s="54"/>
    </row>
    <row r="290" spans="1:32" ht="15" hidden="1" customHeight="1" x14ac:dyDescent="0.2">
      <c r="A290" s="28" t="s">
        <v>283</v>
      </c>
      <c r="C290" s="58" t="str">
        <f t="shared" si="9"/>
        <v/>
      </c>
      <c r="D290" s="118"/>
      <c r="E290" s="118"/>
      <c r="F290" s="114"/>
      <c r="G290" s="114"/>
      <c r="H290" s="114"/>
      <c r="I290" s="313"/>
      <c r="J290" s="315"/>
      <c r="K290" s="120"/>
      <c r="L290" s="327"/>
      <c r="M290" s="328"/>
      <c r="N290" s="138"/>
      <c r="O290" s="26">
        <f t="shared" si="8"/>
        <v>0</v>
      </c>
      <c r="AA290" s="54"/>
      <c r="AB290" s="54"/>
      <c r="AC290" s="54"/>
      <c r="AD290" s="54"/>
      <c r="AE290" s="54"/>
      <c r="AF290" s="54"/>
    </row>
    <row r="291" spans="1:32" ht="15" hidden="1" customHeight="1" x14ac:dyDescent="0.2">
      <c r="C291" s="58" t="str">
        <f t="shared" si="9"/>
        <v/>
      </c>
      <c r="D291" s="118"/>
      <c r="E291" s="118"/>
      <c r="F291" s="114"/>
      <c r="G291" s="114"/>
      <c r="H291" s="114"/>
      <c r="I291" s="313"/>
      <c r="J291" s="315"/>
      <c r="K291" s="120"/>
      <c r="L291" s="327"/>
      <c r="M291" s="328"/>
      <c r="N291" s="138"/>
      <c r="O291" s="26">
        <f t="shared" si="8"/>
        <v>0</v>
      </c>
      <c r="AA291" s="54"/>
      <c r="AB291" s="54"/>
      <c r="AC291" s="54"/>
      <c r="AD291" s="54"/>
      <c r="AE291" s="54"/>
      <c r="AF291" s="54"/>
    </row>
    <row r="292" spans="1:32" ht="15" hidden="1" customHeight="1" x14ac:dyDescent="0.2">
      <c r="A292" s="28" t="s">
        <v>284</v>
      </c>
      <c r="C292" s="58" t="str">
        <f t="shared" si="9"/>
        <v/>
      </c>
      <c r="D292" s="118"/>
      <c r="E292" s="118"/>
      <c r="F292" s="114"/>
      <c r="G292" s="114"/>
      <c r="H292" s="114"/>
      <c r="I292" s="313"/>
      <c r="J292" s="315"/>
      <c r="K292" s="120"/>
      <c r="L292" s="327"/>
      <c r="M292" s="328"/>
      <c r="N292" s="138"/>
      <c r="O292" s="26">
        <f t="shared" si="8"/>
        <v>0</v>
      </c>
      <c r="AA292" s="54"/>
      <c r="AB292" s="54"/>
      <c r="AC292" s="54"/>
      <c r="AD292" s="54"/>
      <c r="AE292" s="54"/>
      <c r="AF292" s="54"/>
    </row>
    <row r="293" spans="1:32" ht="15" hidden="1" customHeight="1" x14ac:dyDescent="0.2">
      <c r="A293" s="28" t="s">
        <v>285</v>
      </c>
      <c r="C293" s="58" t="str">
        <f t="shared" si="9"/>
        <v/>
      </c>
      <c r="D293" s="118"/>
      <c r="E293" s="118"/>
      <c r="F293" s="114"/>
      <c r="G293" s="114"/>
      <c r="H293" s="114"/>
      <c r="I293" s="313"/>
      <c r="J293" s="315"/>
      <c r="K293" s="120"/>
      <c r="L293" s="327"/>
      <c r="M293" s="328"/>
      <c r="N293" s="138"/>
      <c r="O293" s="26">
        <f t="shared" si="8"/>
        <v>0</v>
      </c>
      <c r="AA293" s="54"/>
      <c r="AB293" s="54"/>
      <c r="AC293" s="54"/>
      <c r="AD293" s="54"/>
      <c r="AE293" s="54"/>
      <c r="AF293" s="54"/>
    </row>
    <row r="294" spans="1:32" ht="15" hidden="1" customHeight="1" x14ac:dyDescent="0.2">
      <c r="A294" s="28" t="s">
        <v>282</v>
      </c>
      <c r="C294" s="58" t="str">
        <f t="shared" si="9"/>
        <v/>
      </c>
      <c r="D294" s="118"/>
      <c r="E294" s="118"/>
      <c r="F294" s="114"/>
      <c r="G294" s="114"/>
      <c r="H294" s="114"/>
      <c r="I294" s="313"/>
      <c r="J294" s="315"/>
      <c r="K294" s="120"/>
      <c r="L294" s="327"/>
      <c r="M294" s="328"/>
      <c r="N294" s="138"/>
      <c r="O294" s="26">
        <f t="shared" si="8"/>
        <v>0</v>
      </c>
      <c r="AA294" s="54"/>
      <c r="AB294" s="54"/>
      <c r="AC294" s="54"/>
      <c r="AD294" s="54"/>
      <c r="AE294" s="54"/>
      <c r="AF294" s="54"/>
    </row>
    <row r="295" spans="1:32" ht="15" hidden="1" customHeight="1" x14ac:dyDescent="0.2">
      <c r="A295" s="28" t="s">
        <v>165</v>
      </c>
      <c r="C295" s="58" t="str">
        <f t="shared" si="9"/>
        <v/>
      </c>
      <c r="D295" s="118"/>
      <c r="E295" s="118"/>
      <c r="F295" s="114"/>
      <c r="G295" s="114"/>
      <c r="H295" s="114"/>
      <c r="I295" s="313"/>
      <c r="J295" s="315"/>
      <c r="K295" s="120"/>
      <c r="L295" s="327"/>
      <c r="M295" s="328"/>
      <c r="N295" s="138"/>
      <c r="O295" s="26">
        <f t="shared" si="8"/>
        <v>0</v>
      </c>
      <c r="AA295" s="54"/>
      <c r="AB295" s="54"/>
      <c r="AC295" s="54"/>
      <c r="AD295" s="54"/>
      <c r="AE295" s="54"/>
      <c r="AF295" s="54"/>
    </row>
    <row r="296" spans="1:32" ht="15" hidden="1" customHeight="1" x14ac:dyDescent="0.2">
      <c r="C296" s="58" t="str">
        <f t="shared" si="9"/>
        <v/>
      </c>
      <c r="D296" s="118"/>
      <c r="E296" s="118"/>
      <c r="F296" s="114"/>
      <c r="G296" s="114"/>
      <c r="H296" s="114"/>
      <c r="I296" s="313"/>
      <c r="J296" s="315"/>
      <c r="K296" s="120"/>
      <c r="L296" s="327"/>
      <c r="M296" s="328"/>
      <c r="N296" s="138"/>
      <c r="O296" s="26">
        <f t="shared" si="8"/>
        <v>0</v>
      </c>
      <c r="AA296" s="54"/>
      <c r="AB296" s="54"/>
      <c r="AC296" s="54"/>
      <c r="AD296" s="54"/>
      <c r="AE296" s="54"/>
      <c r="AF296" s="54"/>
    </row>
    <row r="297" spans="1:32" ht="15" hidden="1" customHeight="1" x14ac:dyDescent="0.2">
      <c r="C297" s="58" t="str">
        <f t="shared" si="9"/>
        <v/>
      </c>
      <c r="D297" s="118"/>
      <c r="E297" s="118"/>
      <c r="F297" s="114"/>
      <c r="G297" s="114"/>
      <c r="H297" s="114"/>
      <c r="I297" s="313"/>
      <c r="J297" s="315"/>
      <c r="K297" s="120"/>
      <c r="L297" s="327"/>
      <c r="M297" s="328"/>
      <c r="N297" s="138"/>
      <c r="O297" s="26">
        <f t="shared" si="8"/>
        <v>0</v>
      </c>
      <c r="AA297" s="54"/>
      <c r="AB297" s="54"/>
      <c r="AC297" s="54"/>
      <c r="AD297" s="54"/>
      <c r="AE297" s="54"/>
      <c r="AF297" s="54"/>
    </row>
    <row r="298" spans="1:32" ht="15" hidden="1" customHeight="1" x14ac:dyDescent="0.2">
      <c r="C298" s="58" t="str">
        <f t="shared" si="9"/>
        <v/>
      </c>
      <c r="D298" s="118"/>
      <c r="E298" s="118"/>
      <c r="F298" s="114"/>
      <c r="G298" s="114"/>
      <c r="H298" s="114"/>
      <c r="I298" s="313"/>
      <c r="J298" s="315"/>
      <c r="K298" s="120"/>
      <c r="L298" s="327"/>
      <c r="M298" s="328"/>
      <c r="N298" s="138"/>
      <c r="O298" s="26">
        <f t="shared" si="8"/>
        <v>0</v>
      </c>
      <c r="AA298" s="54"/>
      <c r="AB298" s="54"/>
      <c r="AC298" s="54"/>
      <c r="AD298" s="54"/>
      <c r="AE298" s="54"/>
      <c r="AF298" s="54"/>
    </row>
    <row r="299" spans="1:32" ht="15" hidden="1" customHeight="1" x14ac:dyDescent="0.2">
      <c r="C299" s="58" t="str">
        <f t="shared" si="9"/>
        <v/>
      </c>
      <c r="D299" s="118"/>
      <c r="E299" s="118"/>
      <c r="F299" s="114"/>
      <c r="G299" s="114"/>
      <c r="H299" s="114"/>
      <c r="I299" s="313"/>
      <c r="J299" s="315"/>
      <c r="K299" s="120"/>
      <c r="L299" s="327"/>
      <c r="M299" s="328"/>
      <c r="N299" s="138"/>
      <c r="O299" s="26">
        <f t="shared" si="8"/>
        <v>0</v>
      </c>
      <c r="AA299" s="54"/>
      <c r="AB299" s="54"/>
      <c r="AC299" s="54"/>
      <c r="AD299" s="54"/>
      <c r="AE299" s="54"/>
      <c r="AF299" s="54"/>
    </row>
    <row r="300" spans="1:32" ht="15" hidden="1" customHeight="1" x14ac:dyDescent="0.2">
      <c r="C300" s="58" t="str">
        <f t="shared" si="9"/>
        <v/>
      </c>
      <c r="D300" s="118"/>
      <c r="E300" s="118"/>
      <c r="F300" s="114"/>
      <c r="G300" s="114"/>
      <c r="H300" s="114"/>
      <c r="I300" s="313"/>
      <c r="J300" s="315"/>
      <c r="K300" s="120"/>
      <c r="L300" s="327"/>
      <c r="M300" s="328"/>
      <c r="N300" s="138"/>
      <c r="O300" s="26">
        <f t="shared" si="8"/>
        <v>0</v>
      </c>
      <c r="AA300" s="54"/>
      <c r="AB300" s="54"/>
      <c r="AC300" s="54"/>
      <c r="AD300" s="54"/>
      <c r="AE300" s="54"/>
      <c r="AF300" s="54"/>
    </row>
    <row r="301" spans="1:32" ht="15" hidden="1" customHeight="1" x14ac:dyDescent="0.2">
      <c r="C301" s="58" t="str">
        <f t="shared" si="9"/>
        <v/>
      </c>
      <c r="D301" s="118"/>
      <c r="E301" s="118"/>
      <c r="F301" s="114"/>
      <c r="G301" s="114"/>
      <c r="H301" s="114"/>
      <c r="I301" s="313"/>
      <c r="J301" s="315"/>
      <c r="K301" s="120"/>
      <c r="L301" s="327"/>
      <c r="M301" s="328"/>
      <c r="N301" s="138"/>
      <c r="O301" s="26">
        <f t="shared" si="8"/>
        <v>0</v>
      </c>
      <c r="AA301" s="54"/>
      <c r="AB301" s="54"/>
      <c r="AC301" s="54"/>
      <c r="AD301" s="54"/>
      <c r="AE301" s="54"/>
      <c r="AF301" s="54"/>
    </row>
    <row r="302" spans="1:32" ht="15" hidden="1" customHeight="1" x14ac:dyDescent="0.2">
      <c r="C302" s="58" t="str">
        <f t="shared" si="9"/>
        <v/>
      </c>
      <c r="D302" s="118"/>
      <c r="E302" s="118"/>
      <c r="F302" s="114"/>
      <c r="G302" s="114"/>
      <c r="H302" s="114"/>
      <c r="I302" s="313"/>
      <c r="J302" s="315"/>
      <c r="K302" s="120"/>
      <c r="L302" s="327"/>
      <c r="M302" s="328"/>
      <c r="N302" s="138"/>
      <c r="O302" s="26">
        <f t="shared" si="8"/>
        <v>0</v>
      </c>
      <c r="AA302" s="54"/>
      <c r="AB302" s="54"/>
      <c r="AC302" s="54"/>
      <c r="AD302" s="54"/>
      <c r="AE302" s="54"/>
      <c r="AF302" s="54"/>
    </row>
    <row r="303" spans="1:32" ht="15" hidden="1" customHeight="1" x14ac:dyDescent="0.2">
      <c r="C303" s="58" t="str">
        <f t="shared" si="9"/>
        <v/>
      </c>
      <c r="D303" s="118"/>
      <c r="E303" s="118"/>
      <c r="F303" s="114"/>
      <c r="G303" s="114"/>
      <c r="H303" s="114"/>
      <c r="I303" s="313"/>
      <c r="J303" s="315"/>
      <c r="K303" s="120"/>
      <c r="L303" s="327"/>
      <c r="M303" s="328"/>
      <c r="N303" s="138"/>
      <c r="O303" s="26">
        <f t="shared" si="8"/>
        <v>0</v>
      </c>
      <c r="AA303" s="54"/>
      <c r="AB303" s="54"/>
      <c r="AC303" s="54"/>
      <c r="AD303" s="54"/>
      <c r="AE303" s="54"/>
      <c r="AF303" s="54"/>
    </row>
    <row r="304" spans="1:32" ht="15" hidden="1" customHeight="1" x14ac:dyDescent="0.2">
      <c r="C304" s="58" t="str">
        <f t="shared" si="9"/>
        <v/>
      </c>
      <c r="D304" s="118"/>
      <c r="E304" s="118"/>
      <c r="F304" s="114"/>
      <c r="G304" s="114"/>
      <c r="H304" s="114"/>
      <c r="I304" s="313"/>
      <c r="J304" s="315"/>
      <c r="K304" s="120"/>
      <c r="L304" s="327"/>
      <c r="M304" s="328"/>
      <c r="N304" s="138"/>
      <c r="O304" s="26">
        <f t="shared" si="8"/>
        <v>0</v>
      </c>
      <c r="AA304" s="54"/>
      <c r="AB304" s="54"/>
      <c r="AC304" s="54"/>
      <c r="AD304" s="54"/>
      <c r="AE304" s="54"/>
      <c r="AF304" s="54"/>
    </row>
    <row r="305" spans="3:32" ht="15" hidden="1" customHeight="1" x14ac:dyDescent="0.2">
      <c r="C305" s="58" t="str">
        <f t="shared" si="9"/>
        <v/>
      </c>
      <c r="D305" s="118"/>
      <c r="E305" s="118"/>
      <c r="F305" s="114"/>
      <c r="G305" s="114"/>
      <c r="H305" s="114"/>
      <c r="I305" s="313"/>
      <c r="J305" s="315"/>
      <c r="K305" s="120"/>
      <c r="L305" s="327"/>
      <c r="M305" s="328"/>
      <c r="N305" s="138"/>
      <c r="O305" s="26">
        <f t="shared" si="8"/>
        <v>0</v>
      </c>
      <c r="AA305" s="54"/>
      <c r="AB305" s="54"/>
      <c r="AC305" s="54"/>
      <c r="AD305" s="54"/>
      <c r="AE305" s="54"/>
      <c r="AF305" s="54"/>
    </row>
    <row r="306" spans="3:32" ht="15" hidden="1" customHeight="1" x14ac:dyDescent="0.2">
      <c r="C306" s="58" t="str">
        <f t="shared" si="9"/>
        <v/>
      </c>
      <c r="D306" s="118"/>
      <c r="E306" s="118"/>
      <c r="F306" s="114"/>
      <c r="G306" s="114"/>
      <c r="H306" s="114"/>
      <c r="I306" s="313"/>
      <c r="J306" s="315"/>
      <c r="K306" s="120"/>
      <c r="L306" s="327"/>
      <c r="M306" s="328"/>
      <c r="N306" s="138"/>
      <c r="O306" s="26">
        <f t="shared" si="8"/>
        <v>0</v>
      </c>
      <c r="AA306" s="54"/>
      <c r="AB306" s="54"/>
      <c r="AC306" s="54"/>
      <c r="AD306" s="54"/>
      <c r="AE306" s="54"/>
      <c r="AF306" s="54"/>
    </row>
    <row r="307" spans="3:32" ht="15" hidden="1" customHeight="1" x14ac:dyDescent="0.2">
      <c r="C307" s="58" t="str">
        <f t="shared" si="9"/>
        <v/>
      </c>
      <c r="D307" s="118"/>
      <c r="E307" s="118"/>
      <c r="F307" s="114"/>
      <c r="G307" s="114"/>
      <c r="H307" s="114"/>
      <c r="I307" s="313"/>
      <c r="J307" s="315"/>
      <c r="K307" s="120"/>
      <c r="L307" s="327"/>
      <c r="M307" s="328"/>
      <c r="N307" s="138"/>
      <c r="O307" s="26">
        <f t="shared" si="8"/>
        <v>0</v>
      </c>
      <c r="AA307" s="54"/>
      <c r="AB307" s="54"/>
      <c r="AC307" s="54"/>
      <c r="AD307" s="54"/>
      <c r="AE307" s="54"/>
      <c r="AF307" s="54"/>
    </row>
    <row r="308" spans="3:32" ht="15" hidden="1" customHeight="1" x14ac:dyDescent="0.2">
      <c r="C308" s="58" t="str">
        <f t="shared" si="9"/>
        <v/>
      </c>
      <c r="D308" s="118"/>
      <c r="E308" s="118"/>
      <c r="F308" s="114"/>
      <c r="G308" s="114"/>
      <c r="H308" s="114"/>
      <c r="I308" s="313"/>
      <c r="J308" s="315"/>
      <c r="K308" s="120"/>
      <c r="L308" s="327"/>
      <c r="M308" s="328"/>
      <c r="N308" s="138"/>
      <c r="O308" s="26">
        <f t="shared" si="8"/>
        <v>0</v>
      </c>
      <c r="AA308" s="54"/>
      <c r="AB308" s="54"/>
      <c r="AC308" s="54"/>
      <c r="AD308" s="54"/>
      <c r="AE308" s="54"/>
      <c r="AF308" s="54"/>
    </row>
    <row r="309" spans="3:32" ht="15" hidden="1" customHeight="1" x14ac:dyDescent="0.2">
      <c r="C309" s="58" t="str">
        <f t="shared" si="9"/>
        <v/>
      </c>
      <c r="D309" s="118"/>
      <c r="E309" s="118"/>
      <c r="F309" s="114"/>
      <c r="G309" s="114"/>
      <c r="H309" s="114"/>
      <c r="I309" s="313"/>
      <c r="J309" s="315"/>
      <c r="K309" s="120"/>
      <c r="L309" s="327"/>
      <c r="M309" s="328"/>
      <c r="N309" s="138"/>
      <c r="O309" s="26">
        <f t="shared" si="8"/>
        <v>0</v>
      </c>
      <c r="AA309" s="54"/>
      <c r="AB309" s="54"/>
      <c r="AC309" s="54"/>
      <c r="AD309" s="54"/>
      <c r="AE309" s="54"/>
      <c r="AF309" s="54"/>
    </row>
    <row r="310" spans="3:32" ht="15" hidden="1" customHeight="1" x14ac:dyDescent="0.2">
      <c r="C310" s="58" t="str">
        <f t="shared" si="9"/>
        <v/>
      </c>
      <c r="D310" s="118"/>
      <c r="E310" s="118"/>
      <c r="F310" s="114"/>
      <c r="G310" s="114"/>
      <c r="H310" s="114"/>
      <c r="I310" s="313"/>
      <c r="J310" s="315"/>
      <c r="K310" s="120"/>
      <c r="L310" s="327"/>
      <c r="M310" s="328"/>
      <c r="N310" s="138"/>
      <c r="O310" s="26">
        <f t="shared" si="8"/>
        <v>0</v>
      </c>
      <c r="AA310" s="54"/>
      <c r="AB310" s="54"/>
      <c r="AC310" s="54"/>
      <c r="AD310" s="54"/>
      <c r="AE310" s="54"/>
      <c r="AF310" s="54"/>
    </row>
    <row r="311" spans="3:32" ht="15" hidden="1" customHeight="1" x14ac:dyDescent="0.2">
      <c r="C311" s="58" t="str">
        <f t="shared" si="9"/>
        <v/>
      </c>
      <c r="D311" s="118"/>
      <c r="E311" s="118"/>
      <c r="F311" s="114"/>
      <c r="G311" s="114"/>
      <c r="H311" s="114"/>
      <c r="I311" s="313"/>
      <c r="J311" s="315"/>
      <c r="K311" s="120"/>
      <c r="L311" s="327"/>
      <c r="M311" s="328"/>
      <c r="N311" s="138"/>
      <c r="O311" s="26">
        <f t="shared" si="8"/>
        <v>0</v>
      </c>
      <c r="AA311" s="54"/>
      <c r="AB311" s="54"/>
      <c r="AC311" s="54"/>
      <c r="AD311" s="54"/>
      <c r="AE311" s="54"/>
      <c r="AF311" s="54"/>
    </row>
    <row r="312" spans="3:32" ht="15" hidden="1" customHeight="1" x14ac:dyDescent="0.2">
      <c r="C312" s="58" t="str">
        <f t="shared" si="9"/>
        <v/>
      </c>
      <c r="D312" s="118"/>
      <c r="E312" s="118"/>
      <c r="F312" s="114"/>
      <c r="G312" s="114"/>
      <c r="H312" s="114"/>
      <c r="I312" s="313"/>
      <c r="J312" s="315"/>
      <c r="K312" s="120"/>
      <c r="L312" s="327"/>
      <c r="M312" s="328"/>
      <c r="N312" s="138"/>
      <c r="O312" s="26">
        <f t="shared" si="8"/>
        <v>0</v>
      </c>
      <c r="AA312" s="54"/>
      <c r="AB312" s="54"/>
      <c r="AC312" s="54"/>
      <c r="AD312" s="54"/>
      <c r="AE312" s="54"/>
      <c r="AF312" s="54"/>
    </row>
    <row r="313" spans="3:32" ht="15" hidden="1" customHeight="1" x14ac:dyDescent="0.2">
      <c r="C313" s="58" t="str">
        <f t="shared" si="9"/>
        <v/>
      </c>
      <c r="D313" s="118"/>
      <c r="E313" s="118"/>
      <c r="F313" s="114"/>
      <c r="G313" s="114"/>
      <c r="H313" s="114"/>
      <c r="I313" s="313"/>
      <c r="J313" s="315"/>
      <c r="K313" s="120"/>
      <c r="L313" s="327"/>
      <c r="M313" s="328"/>
      <c r="N313" s="138"/>
      <c r="O313" s="26">
        <f t="shared" si="8"/>
        <v>0</v>
      </c>
      <c r="AA313" s="54"/>
      <c r="AB313" s="54"/>
      <c r="AC313" s="54"/>
      <c r="AD313" s="54"/>
      <c r="AE313" s="54"/>
      <c r="AF313" s="54"/>
    </row>
    <row r="314" spans="3:32" ht="15" hidden="1" customHeight="1" x14ac:dyDescent="0.2">
      <c r="C314" s="58" t="str">
        <f t="shared" si="9"/>
        <v/>
      </c>
      <c r="D314" s="118"/>
      <c r="E314" s="118"/>
      <c r="F314" s="114"/>
      <c r="G314" s="114"/>
      <c r="H314" s="114"/>
      <c r="I314" s="313"/>
      <c r="J314" s="315"/>
      <c r="K314" s="120"/>
      <c r="L314" s="327"/>
      <c r="M314" s="328"/>
      <c r="N314" s="138"/>
      <c r="O314" s="26">
        <f t="shared" si="8"/>
        <v>0</v>
      </c>
      <c r="AA314" s="54"/>
      <c r="AB314" s="54"/>
      <c r="AC314" s="54"/>
      <c r="AD314" s="54"/>
      <c r="AE314" s="54"/>
      <c r="AF314" s="54"/>
    </row>
    <row r="315" spans="3:32" ht="15" hidden="1" customHeight="1" x14ac:dyDescent="0.2">
      <c r="C315" s="58" t="str">
        <f t="shared" si="9"/>
        <v/>
      </c>
      <c r="D315" s="118"/>
      <c r="E315" s="118"/>
      <c r="F315" s="114"/>
      <c r="G315" s="114"/>
      <c r="H315" s="114"/>
      <c r="I315" s="313"/>
      <c r="J315" s="315"/>
      <c r="K315" s="120"/>
      <c r="L315" s="327"/>
      <c r="M315" s="328"/>
      <c r="N315" s="138"/>
      <c r="O315" s="26">
        <f t="shared" si="8"/>
        <v>0</v>
      </c>
      <c r="AA315" s="54"/>
      <c r="AB315" s="54"/>
      <c r="AC315" s="54"/>
      <c r="AD315" s="54"/>
      <c r="AE315" s="54"/>
      <c r="AF315" s="54"/>
    </row>
    <row r="316" spans="3:32" ht="15" hidden="1" customHeight="1" x14ac:dyDescent="0.2">
      <c r="C316" s="58" t="str">
        <f t="shared" si="9"/>
        <v/>
      </c>
      <c r="D316" s="118"/>
      <c r="E316" s="118"/>
      <c r="F316" s="114"/>
      <c r="G316" s="114"/>
      <c r="H316" s="114"/>
      <c r="I316" s="313"/>
      <c r="J316" s="315"/>
      <c r="K316" s="120"/>
      <c r="L316" s="327"/>
      <c r="M316" s="328"/>
      <c r="N316" s="138"/>
      <c r="O316" s="26">
        <f t="shared" si="8"/>
        <v>0</v>
      </c>
      <c r="AA316" s="54"/>
      <c r="AB316" s="54"/>
      <c r="AC316" s="54"/>
      <c r="AD316" s="54"/>
      <c r="AE316" s="54"/>
      <c r="AF316" s="54"/>
    </row>
    <row r="317" spans="3:32" ht="15" hidden="1" customHeight="1" x14ac:dyDescent="0.2">
      <c r="C317" s="58" t="str">
        <f t="shared" si="9"/>
        <v/>
      </c>
      <c r="D317" s="118"/>
      <c r="E317" s="118"/>
      <c r="F317" s="114"/>
      <c r="G317" s="114"/>
      <c r="H317" s="114"/>
      <c r="I317" s="313"/>
      <c r="J317" s="315"/>
      <c r="K317" s="120"/>
      <c r="L317" s="327"/>
      <c r="M317" s="328"/>
      <c r="N317" s="138"/>
      <c r="O317" s="26">
        <f t="shared" si="8"/>
        <v>0</v>
      </c>
      <c r="AA317" s="54"/>
      <c r="AB317" s="54"/>
      <c r="AC317" s="54"/>
      <c r="AD317" s="54"/>
      <c r="AE317" s="54"/>
      <c r="AF317" s="54"/>
    </row>
    <row r="318" spans="3:32" ht="15" hidden="1" customHeight="1" x14ac:dyDescent="0.2">
      <c r="C318" s="58" t="str">
        <f t="shared" si="9"/>
        <v/>
      </c>
      <c r="D318" s="118"/>
      <c r="E318" s="118"/>
      <c r="F318" s="114"/>
      <c r="G318" s="114"/>
      <c r="H318" s="114"/>
      <c r="I318" s="313"/>
      <c r="J318" s="315"/>
      <c r="K318" s="120"/>
      <c r="L318" s="327"/>
      <c r="M318" s="328"/>
      <c r="N318" s="138"/>
      <c r="O318" s="26">
        <f t="shared" si="8"/>
        <v>0</v>
      </c>
      <c r="AA318" s="54"/>
      <c r="AB318" s="54"/>
      <c r="AC318" s="54"/>
      <c r="AD318" s="54"/>
      <c r="AE318" s="54"/>
      <c r="AF318" s="54"/>
    </row>
    <row r="319" spans="3:32" ht="15" hidden="1" customHeight="1" x14ac:dyDescent="0.2">
      <c r="C319" s="58" t="str">
        <f t="shared" si="9"/>
        <v/>
      </c>
      <c r="D319" s="118"/>
      <c r="E319" s="118"/>
      <c r="F319" s="114"/>
      <c r="G319" s="114"/>
      <c r="H319" s="114"/>
      <c r="I319" s="313"/>
      <c r="J319" s="315"/>
      <c r="K319" s="120"/>
      <c r="L319" s="327"/>
      <c r="M319" s="328"/>
      <c r="N319" s="138"/>
      <c r="O319" s="26">
        <f t="shared" si="8"/>
        <v>0</v>
      </c>
      <c r="AA319" s="54"/>
      <c r="AB319" s="54"/>
      <c r="AC319" s="54"/>
      <c r="AD319" s="54"/>
      <c r="AE319" s="54"/>
      <c r="AF319" s="54"/>
    </row>
    <row r="320" spans="3:32" ht="15" hidden="1" customHeight="1" x14ac:dyDescent="0.2">
      <c r="C320" s="58" t="str">
        <f t="shared" si="9"/>
        <v/>
      </c>
      <c r="D320" s="118"/>
      <c r="E320" s="118"/>
      <c r="F320" s="114"/>
      <c r="G320" s="114"/>
      <c r="H320" s="114"/>
      <c r="I320" s="313"/>
      <c r="J320" s="315"/>
      <c r="K320" s="120"/>
      <c r="L320" s="327"/>
      <c r="M320" s="328"/>
      <c r="N320" s="138"/>
      <c r="O320" s="26">
        <f t="shared" si="8"/>
        <v>0</v>
      </c>
      <c r="AA320" s="54"/>
      <c r="AB320" s="54"/>
      <c r="AC320" s="54"/>
      <c r="AD320" s="54"/>
      <c r="AE320" s="54"/>
      <c r="AF320" s="54"/>
    </row>
    <row r="321" spans="1:32" ht="15" hidden="1" customHeight="1" x14ac:dyDescent="0.2">
      <c r="C321" s="58" t="str">
        <f t="shared" si="9"/>
        <v/>
      </c>
      <c r="D321" s="118"/>
      <c r="E321" s="118"/>
      <c r="F321" s="114"/>
      <c r="G321" s="114"/>
      <c r="H321" s="114"/>
      <c r="I321" s="313"/>
      <c r="J321" s="315"/>
      <c r="K321" s="120"/>
      <c r="L321" s="327"/>
      <c r="M321" s="328"/>
      <c r="N321" s="138"/>
      <c r="O321" s="26">
        <f t="shared" si="8"/>
        <v>0</v>
      </c>
      <c r="AA321" s="54"/>
      <c r="AB321" s="54"/>
      <c r="AC321" s="54"/>
      <c r="AD321" s="54"/>
      <c r="AE321" s="54"/>
      <c r="AF321" s="54"/>
    </row>
    <row r="322" spans="1:32" ht="15" hidden="1" customHeight="1" x14ac:dyDescent="0.2">
      <c r="C322" s="58" t="str">
        <f t="shared" si="9"/>
        <v/>
      </c>
      <c r="D322" s="118"/>
      <c r="E322" s="118"/>
      <c r="F322" s="114"/>
      <c r="G322" s="114"/>
      <c r="H322" s="114"/>
      <c r="I322" s="313"/>
      <c r="J322" s="315"/>
      <c r="K322" s="120"/>
      <c r="L322" s="327"/>
      <c r="M322" s="328"/>
      <c r="N322" s="138"/>
      <c r="O322" s="26">
        <f t="shared" si="8"/>
        <v>0</v>
      </c>
      <c r="AA322" s="54"/>
      <c r="AB322" s="54"/>
      <c r="AC322" s="54"/>
      <c r="AD322" s="54"/>
      <c r="AE322" s="54"/>
      <c r="AF322" s="54"/>
    </row>
    <row r="323" spans="1:32" ht="15" hidden="1" customHeight="1" x14ac:dyDescent="0.2">
      <c r="C323" s="58" t="str">
        <f t="shared" si="9"/>
        <v/>
      </c>
      <c r="D323" s="118"/>
      <c r="E323" s="118"/>
      <c r="F323" s="114"/>
      <c r="G323" s="114"/>
      <c r="H323" s="114"/>
      <c r="I323" s="313"/>
      <c r="J323" s="315"/>
      <c r="K323" s="120"/>
      <c r="L323" s="327"/>
      <c r="M323" s="328"/>
      <c r="N323" s="138"/>
      <c r="O323" s="26">
        <f t="shared" si="8"/>
        <v>0</v>
      </c>
      <c r="AA323" s="54"/>
      <c r="AB323" s="54"/>
      <c r="AC323" s="54"/>
      <c r="AD323" s="54"/>
      <c r="AE323" s="54"/>
      <c r="AF323" s="54"/>
    </row>
    <row r="324" spans="1:32" ht="15" hidden="1" customHeight="1" x14ac:dyDescent="0.2">
      <c r="C324" s="58" t="str">
        <f t="shared" si="9"/>
        <v/>
      </c>
      <c r="D324" s="118"/>
      <c r="E324" s="118"/>
      <c r="F324" s="114"/>
      <c r="G324" s="114"/>
      <c r="H324" s="114"/>
      <c r="I324" s="313"/>
      <c r="J324" s="315"/>
      <c r="K324" s="120"/>
      <c r="L324" s="327"/>
      <c r="M324" s="328"/>
      <c r="N324" s="138"/>
      <c r="O324" s="26">
        <f t="shared" si="8"/>
        <v>0</v>
      </c>
      <c r="AA324" s="54"/>
      <c r="AB324" s="54"/>
      <c r="AC324" s="54"/>
      <c r="AD324" s="54"/>
      <c r="AE324" s="54"/>
      <c r="AF324" s="54"/>
    </row>
    <row r="325" spans="1:32" ht="15" hidden="1" customHeight="1" x14ac:dyDescent="0.2">
      <c r="C325" s="285" t="s">
        <v>290</v>
      </c>
      <c r="D325" s="285"/>
      <c r="E325" s="285"/>
      <c r="F325" s="285"/>
      <c r="G325" s="285"/>
      <c r="H325" s="285"/>
      <c r="I325" s="285"/>
      <c r="J325" s="285"/>
      <c r="K325" s="285"/>
      <c r="L325" s="285"/>
      <c r="M325" s="285"/>
      <c r="N325" s="138"/>
      <c r="AA325" s="54"/>
      <c r="AB325" s="54"/>
      <c r="AC325" s="54"/>
      <c r="AD325" s="54"/>
      <c r="AE325" s="54"/>
      <c r="AF325" s="54"/>
    </row>
    <row r="326" spans="1:32" ht="15" hidden="1" customHeight="1" x14ac:dyDescent="0.2">
      <c r="C326" s="20" t="s">
        <v>125</v>
      </c>
      <c r="D326" s="286"/>
      <c r="E326" s="287"/>
      <c r="F326" s="287"/>
      <c r="G326" s="287"/>
      <c r="H326" s="287"/>
      <c r="I326" s="287"/>
      <c r="J326" s="287"/>
      <c r="K326" s="287"/>
      <c r="L326" s="287"/>
      <c r="M326" s="288"/>
      <c r="N326" s="138"/>
      <c r="AA326" s="54"/>
      <c r="AB326" s="54"/>
      <c r="AC326" s="54"/>
      <c r="AD326" s="54"/>
      <c r="AE326" s="54"/>
      <c r="AF326" s="54"/>
    </row>
    <row r="327" spans="1:32" ht="15" hidden="1" customHeight="1" x14ac:dyDescent="0.2">
      <c r="C327" s="295"/>
      <c r="D327" s="289"/>
      <c r="E327" s="290"/>
      <c r="F327" s="290"/>
      <c r="G327" s="290"/>
      <c r="H327" s="290"/>
      <c r="I327" s="290"/>
      <c r="J327" s="290"/>
      <c r="K327" s="290"/>
      <c r="L327" s="290"/>
      <c r="M327" s="291"/>
      <c r="N327" s="138"/>
      <c r="AA327" s="54"/>
      <c r="AB327" s="54"/>
      <c r="AC327" s="54"/>
      <c r="AD327" s="54"/>
      <c r="AE327" s="54"/>
      <c r="AF327" s="54"/>
    </row>
    <row r="328" spans="1:32" ht="15" hidden="1" customHeight="1" x14ac:dyDescent="0.2">
      <c r="C328" s="295"/>
      <c r="D328" s="289"/>
      <c r="E328" s="290"/>
      <c r="F328" s="290"/>
      <c r="G328" s="290"/>
      <c r="H328" s="290"/>
      <c r="I328" s="290"/>
      <c r="J328" s="290"/>
      <c r="K328" s="290"/>
      <c r="L328" s="290"/>
      <c r="M328" s="291"/>
      <c r="N328" s="138"/>
      <c r="AA328" s="54"/>
      <c r="AB328" s="54"/>
      <c r="AC328" s="54"/>
      <c r="AD328" s="54"/>
      <c r="AE328" s="54"/>
      <c r="AF328" s="54"/>
    </row>
    <row r="329" spans="1:32" ht="15" hidden="1" customHeight="1" x14ac:dyDescent="0.2">
      <c r="C329" s="295"/>
      <c r="D329" s="289"/>
      <c r="E329" s="290"/>
      <c r="F329" s="290"/>
      <c r="G329" s="290"/>
      <c r="H329" s="290"/>
      <c r="I329" s="290"/>
      <c r="J329" s="290"/>
      <c r="K329" s="290"/>
      <c r="L329" s="290"/>
      <c r="M329" s="291"/>
      <c r="N329" s="138"/>
      <c r="AA329" s="54"/>
      <c r="AB329" s="54"/>
      <c r="AC329" s="54"/>
      <c r="AD329" s="54"/>
      <c r="AE329" s="54"/>
      <c r="AF329" s="54"/>
    </row>
    <row r="330" spans="1:32" ht="15" hidden="1" customHeight="1" x14ac:dyDescent="0.2">
      <c r="C330" s="295"/>
      <c r="D330" s="292"/>
      <c r="E330" s="293"/>
      <c r="F330" s="293"/>
      <c r="G330" s="293"/>
      <c r="H330" s="293"/>
      <c r="I330" s="293"/>
      <c r="J330" s="293"/>
      <c r="K330" s="293"/>
      <c r="L330" s="293"/>
      <c r="M330" s="294"/>
      <c r="N330" s="138"/>
      <c r="AA330" s="54"/>
      <c r="AB330" s="54"/>
      <c r="AC330" s="54"/>
      <c r="AD330" s="54"/>
      <c r="AE330" s="54"/>
      <c r="AF330" s="54"/>
    </row>
    <row r="331" spans="1:32" ht="15" hidden="1" customHeight="1" thickBot="1" x14ac:dyDescent="0.25">
      <c r="C331" s="296"/>
      <c r="D331" s="296"/>
      <c r="E331" s="296"/>
      <c r="F331" s="296"/>
      <c r="G331" s="296"/>
      <c r="H331" s="296"/>
      <c r="I331" s="296"/>
      <c r="J331" s="296"/>
      <c r="K331" s="296"/>
      <c r="L331" s="296"/>
      <c r="M331" s="296"/>
      <c r="N331" s="138"/>
      <c r="AA331" s="54"/>
      <c r="AB331" s="54"/>
      <c r="AC331" s="54"/>
      <c r="AD331" s="54"/>
      <c r="AE331" s="54"/>
      <c r="AF331" s="54"/>
    </row>
    <row r="332" spans="1:32" ht="15" hidden="1" customHeight="1" thickBot="1" x14ac:dyDescent="0.25">
      <c r="C332" s="332"/>
      <c r="D332" s="332"/>
      <c r="E332" s="332"/>
      <c r="F332" s="332"/>
      <c r="G332" s="332"/>
      <c r="H332" s="332"/>
      <c r="I332" s="332"/>
      <c r="J332" s="332"/>
      <c r="K332" s="332"/>
      <c r="L332" s="332"/>
      <c r="M332" s="332"/>
      <c r="N332" s="138"/>
      <c r="AA332" s="54"/>
      <c r="AB332" s="54"/>
      <c r="AC332" s="54"/>
      <c r="AD332" s="54"/>
      <c r="AE332" s="54"/>
      <c r="AF332" s="54"/>
    </row>
    <row r="333" spans="1:32" ht="15" customHeight="1" thickBot="1" x14ac:dyDescent="0.25">
      <c r="A333" s="134" t="b">
        <v>0</v>
      </c>
      <c r="C333" s="304" t="s">
        <v>288</v>
      </c>
      <c r="D333" s="304"/>
      <c r="E333" s="304"/>
      <c r="F333" s="243"/>
      <c r="G333" s="243"/>
      <c r="H333" s="243"/>
      <c r="I333" s="243"/>
      <c r="J333" s="243"/>
      <c r="K333" s="243"/>
      <c r="L333" s="243"/>
      <c r="M333" s="243"/>
      <c r="N333" s="138"/>
      <c r="O333" s="26">
        <f>SUM(O337:O362)</f>
        <v>0</v>
      </c>
      <c r="AA333" s="54"/>
      <c r="AB333" s="54">
        <f>ROW()</f>
        <v>333</v>
      </c>
      <c r="AC333" s="54">
        <v>5</v>
      </c>
      <c r="AD333" s="54">
        <f>AB333+43</f>
        <v>376</v>
      </c>
      <c r="AE333" s="54">
        <f>AB333+1</f>
        <v>334</v>
      </c>
      <c r="AF333" s="54">
        <f>AB333+50</f>
        <v>383</v>
      </c>
    </row>
    <row r="334" spans="1:32" ht="15" hidden="1" customHeight="1" x14ac:dyDescent="0.2">
      <c r="C334" s="316" t="s">
        <v>292</v>
      </c>
      <c r="D334" s="316"/>
      <c r="E334" s="316"/>
      <c r="F334" s="115" t="s">
        <v>147</v>
      </c>
      <c r="G334" s="317"/>
      <c r="H334" s="317"/>
      <c r="I334" s="317"/>
      <c r="J334" s="317"/>
      <c r="K334" s="317"/>
      <c r="L334" s="317" t="s">
        <v>275</v>
      </c>
      <c r="M334" s="317"/>
      <c r="N334" s="136" t="str">
        <f>IF(COUNTA(D337:D376,D378)=0,"XXX","")</f>
        <v>XXX</v>
      </c>
      <c r="AA334" s="54"/>
      <c r="AB334" s="54"/>
      <c r="AC334" s="54"/>
      <c r="AD334" s="54"/>
      <c r="AE334" s="54"/>
      <c r="AF334" s="54"/>
    </row>
    <row r="335" spans="1:32" ht="15" hidden="1" customHeight="1" x14ac:dyDescent="0.2">
      <c r="C335" s="163" t="s">
        <v>161</v>
      </c>
      <c r="D335" s="163" t="s">
        <v>277</v>
      </c>
      <c r="E335" s="163" t="s">
        <v>297</v>
      </c>
      <c r="F335" s="163" t="s">
        <v>269</v>
      </c>
      <c r="G335" s="163" t="s">
        <v>293</v>
      </c>
      <c r="H335" s="163" t="s">
        <v>294</v>
      </c>
      <c r="I335" s="163" t="s">
        <v>295</v>
      </c>
      <c r="J335" s="209" t="s">
        <v>296</v>
      </c>
      <c r="K335" s="163" t="s">
        <v>299</v>
      </c>
      <c r="L335" s="209" t="s">
        <v>45</v>
      </c>
      <c r="M335" s="259"/>
      <c r="N335" s="138"/>
      <c r="AA335" s="54"/>
      <c r="AB335" s="54"/>
      <c r="AC335" s="54"/>
      <c r="AD335" s="54"/>
      <c r="AE335" s="54"/>
      <c r="AF335" s="54"/>
    </row>
    <row r="336" spans="1:32" ht="15" hidden="1" customHeight="1" x14ac:dyDescent="0.2">
      <c r="A336" s="28" t="s">
        <v>257</v>
      </c>
      <c r="C336" s="164"/>
      <c r="D336" s="164"/>
      <c r="E336" s="164"/>
      <c r="F336" s="164"/>
      <c r="G336" s="164"/>
      <c r="H336" s="164"/>
      <c r="I336" s="164"/>
      <c r="J336" s="211"/>
      <c r="K336" s="164"/>
      <c r="L336" s="211"/>
      <c r="M336" s="260"/>
      <c r="N336" s="138"/>
      <c r="AA336" s="54"/>
      <c r="AB336" s="54"/>
      <c r="AC336" s="54"/>
      <c r="AD336" s="54"/>
      <c r="AE336" s="54"/>
      <c r="AF336" s="54"/>
    </row>
    <row r="337" spans="1:32" ht="15" hidden="1" customHeight="1" x14ac:dyDescent="0.2">
      <c r="A337" s="28" t="s">
        <v>289</v>
      </c>
      <c r="C337" s="58" t="str">
        <f>IF(O337&gt;0,1,"")</f>
        <v/>
      </c>
      <c r="D337" s="118"/>
      <c r="E337" s="117"/>
      <c r="F337" s="118"/>
      <c r="G337" s="114"/>
      <c r="H337" s="114"/>
      <c r="I337" s="114"/>
      <c r="J337" s="114"/>
      <c r="K337" s="119"/>
      <c r="L337" s="313"/>
      <c r="M337" s="315"/>
      <c r="N337" s="138"/>
      <c r="O337" s="26">
        <f t="shared" ref="O337:O376" si="10">IF(COUNTA(D337:M337)=0,0,1)</f>
        <v>0</v>
      </c>
      <c r="AA337" s="54"/>
      <c r="AB337" s="54"/>
      <c r="AC337" s="54"/>
      <c r="AD337" s="54"/>
      <c r="AE337" s="54"/>
      <c r="AF337" s="54"/>
    </row>
    <row r="338" spans="1:32" ht="15" hidden="1" customHeight="1" x14ac:dyDescent="0.2">
      <c r="C338" s="58" t="str">
        <f t="shared" ref="C338:C376" si="11">IF(O338&gt;0,1+C337,"")</f>
        <v/>
      </c>
      <c r="D338" s="118"/>
      <c r="E338" s="117"/>
      <c r="F338" s="118"/>
      <c r="G338" s="114"/>
      <c r="H338" s="114"/>
      <c r="I338" s="114"/>
      <c r="J338" s="114"/>
      <c r="K338" s="119"/>
      <c r="L338" s="313"/>
      <c r="M338" s="315"/>
      <c r="N338" s="138"/>
      <c r="O338" s="26">
        <f t="shared" si="10"/>
        <v>0</v>
      </c>
      <c r="AA338" s="54"/>
      <c r="AB338" s="54"/>
      <c r="AC338" s="54"/>
      <c r="AD338" s="54"/>
      <c r="AE338" s="54"/>
      <c r="AF338" s="54"/>
    </row>
    <row r="339" spans="1:32" ht="15" hidden="1" customHeight="1" x14ac:dyDescent="0.2">
      <c r="C339" s="58" t="str">
        <f t="shared" si="11"/>
        <v/>
      </c>
      <c r="D339" s="118"/>
      <c r="E339" s="117"/>
      <c r="F339" s="118"/>
      <c r="G339" s="114"/>
      <c r="H339" s="114"/>
      <c r="I339" s="114"/>
      <c r="J339" s="114"/>
      <c r="K339" s="119"/>
      <c r="L339" s="313"/>
      <c r="M339" s="315"/>
      <c r="N339" s="138"/>
      <c r="O339" s="26">
        <f t="shared" si="10"/>
        <v>0</v>
      </c>
      <c r="AA339" s="54"/>
      <c r="AB339" s="54"/>
      <c r="AC339" s="54"/>
      <c r="AD339" s="54"/>
      <c r="AE339" s="54"/>
      <c r="AF339" s="54"/>
    </row>
    <row r="340" spans="1:32" ht="15" hidden="1" customHeight="1" x14ac:dyDescent="0.2">
      <c r="C340" s="58" t="str">
        <f t="shared" si="11"/>
        <v/>
      </c>
      <c r="D340" s="118"/>
      <c r="E340" s="117"/>
      <c r="F340" s="118"/>
      <c r="G340" s="114"/>
      <c r="H340" s="114"/>
      <c r="I340" s="114"/>
      <c r="J340" s="114"/>
      <c r="K340" s="119"/>
      <c r="L340" s="313"/>
      <c r="M340" s="315"/>
      <c r="N340" s="138"/>
      <c r="O340" s="26">
        <f t="shared" si="10"/>
        <v>0</v>
      </c>
      <c r="AA340" s="54"/>
      <c r="AB340" s="54"/>
      <c r="AC340" s="54"/>
      <c r="AD340" s="54"/>
      <c r="AE340" s="54"/>
      <c r="AF340" s="54"/>
    </row>
    <row r="341" spans="1:32" ht="15" hidden="1" customHeight="1" x14ac:dyDescent="0.2">
      <c r="C341" s="58" t="str">
        <f t="shared" si="11"/>
        <v/>
      </c>
      <c r="D341" s="118"/>
      <c r="E341" s="117"/>
      <c r="F341" s="118"/>
      <c r="G341" s="114"/>
      <c r="H341" s="114"/>
      <c r="I341" s="114"/>
      <c r="J341" s="114"/>
      <c r="K341" s="119"/>
      <c r="L341" s="313"/>
      <c r="M341" s="315"/>
      <c r="N341" s="138"/>
      <c r="O341" s="26">
        <f t="shared" si="10"/>
        <v>0</v>
      </c>
      <c r="AA341" s="54"/>
      <c r="AB341" s="54"/>
      <c r="AC341" s="54"/>
      <c r="AD341" s="54"/>
      <c r="AE341" s="54"/>
      <c r="AF341" s="54"/>
    </row>
    <row r="342" spans="1:32" ht="15" hidden="1" customHeight="1" x14ac:dyDescent="0.2">
      <c r="C342" s="58" t="str">
        <f t="shared" si="11"/>
        <v/>
      </c>
      <c r="D342" s="118"/>
      <c r="E342" s="117"/>
      <c r="F342" s="118"/>
      <c r="G342" s="114"/>
      <c r="H342" s="114"/>
      <c r="I342" s="114"/>
      <c r="J342" s="114"/>
      <c r="K342" s="119"/>
      <c r="L342" s="313"/>
      <c r="M342" s="315"/>
      <c r="N342" s="138"/>
      <c r="O342" s="26">
        <f t="shared" si="10"/>
        <v>0</v>
      </c>
      <c r="AA342" s="54"/>
      <c r="AB342" s="54"/>
      <c r="AC342" s="54"/>
      <c r="AD342" s="54"/>
      <c r="AE342" s="54"/>
      <c r="AF342" s="54"/>
    </row>
    <row r="343" spans="1:32" ht="15" hidden="1" customHeight="1" x14ac:dyDescent="0.2">
      <c r="C343" s="58" t="str">
        <f t="shared" si="11"/>
        <v/>
      </c>
      <c r="D343" s="118"/>
      <c r="E343" s="117"/>
      <c r="F343" s="118"/>
      <c r="G343" s="114"/>
      <c r="H343" s="114"/>
      <c r="I343" s="114"/>
      <c r="J343" s="114"/>
      <c r="K343" s="119"/>
      <c r="L343" s="313"/>
      <c r="M343" s="315"/>
      <c r="N343" s="138"/>
      <c r="O343" s="26">
        <f t="shared" si="10"/>
        <v>0</v>
      </c>
      <c r="AA343" s="54"/>
      <c r="AB343" s="54"/>
      <c r="AC343" s="54"/>
      <c r="AD343" s="54"/>
      <c r="AE343" s="54"/>
      <c r="AF343" s="54"/>
    </row>
    <row r="344" spans="1:32" ht="15" hidden="1" customHeight="1" x14ac:dyDescent="0.2">
      <c r="C344" s="58" t="str">
        <f t="shared" si="11"/>
        <v/>
      </c>
      <c r="D344" s="118"/>
      <c r="E344" s="117"/>
      <c r="F344" s="118"/>
      <c r="G344" s="114"/>
      <c r="H344" s="114"/>
      <c r="I344" s="114"/>
      <c r="J344" s="114"/>
      <c r="K344" s="119"/>
      <c r="L344" s="313"/>
      <c r="M344" s="315"/>
      <c r="N344" s="138"/>
      <c r="O344" s="26">
        <f t="shared" si="10"/>
        <v>0</v>
      </c>
      <c r="AA344" s="54"/>
      <c r="AB344" s="54"/>
      <c r="AC344" s="54"/>
      <c r="AD344" s="54"/>
      <c r="AE344" s="54"/>
      <c r="AF344" s="54"/>
    </row>
    <row r="345" spans="1:32" ht="15" hidden="1" customHeight="1" x14ac:dyDescent="0.2">
      <c r="C345" s="58" t="str">
        <f t="shared" si="11"/>
        <v/>
      </c>
      <c r="D345" s="118"/>
      <c r="E345" s="117"/>
      <c r="F345" s="118"/>
      <c r="G345" s="114"/>
      <c r="H345" s="114"/>
      <c r="I345" s="114"/>
      <c r="J345" s="114"/>
      <c r="K345" s="119"/>
      <c r="L345" s="313"/>
      <c r="M345" s="315"/>
      <c r="N345" s="138"/>
      <c r="O345" s="26">
        <f t="shared" si="10"/>
        <v>0</v>
      </c>
      <c r="AA345" s="54"/>
      <c r="AB345" s="54"/>
      <c r="AC345" s="54"/>
      <c r="AD345" s="54"/>
      <c r="AE345" s="54"/>
      <c r="AF345" s="54"/>
    </row>
    <row r="346" spans="1:32" ht="15" hidden="1" customHeight="1" x14ac:dyDescent="0.2">
      <c r="C346" s="58" t="str">
        <f t="shared" si="11"/>
        <v/>
      </c>
      <c r="D346" s="118"/>
      <c r="E346" s="117"/>
      <c r="F346" s="118"/>
      <c r="G346" s="114"/>
      <c r="H346" s="114"/>
      <c r="I346" s="114"/>
      <c r="J346" s="114"/>
      <c r="K346" s="119"/>
      <c r="L346" s="313"/>
      <c r="M346" s="315"/>
      <c r="N346" s="138"/>
      <c r="O346" s="26">
        <f t="shared" si="10"/>
        <v>0</v>
      </c>
      <c r="AA346" s="54"/>
      <c r="AB346" s="54"/>
      <c r="AC346" s="54"/>
      <c r="AD346" s="54"/>
      <c r="AE346" s="54"/>
      <c r="AF346" s="54"/>
    </row>
    <row r="347" spans="1:32" ht="15" hidden="1" customHeight="1" x14ac:dyDescent="0.2">
      <c r="C347" s="58" t="str">
        <f t="shared" si="11"/>
        <v/>
      </c>
      <c r="D347" s="118"/>
      <c r="E347" s="117"/>
      <c r="F347" s="118"/>
      <c r="G347" s="114"/>
      <c r="H347" s="114"/>
      <c r="I347" s="114"/>
      <c r="J347" s="114"/>
      <c r="K347" s="119"/>
      <c r="L347" s="313"/>
      <c r="M347" s="315"/>
      <c r="N347" s="138"/>
      <c r="O347" s="26">
        <f t="shared" si="10"/>
        <v>0</v>
      </c>
      <c r="AA347" s="54"/>
      <c r="AB347" s="54"/>
      <c r="AC347" s="54"/>
      <c r="AD347" s="54"/>
      <c r="AE347" s="54"/>
      <c r="AF347" s="54"/>
    </row>
    <row r="348" spans="1:32" ht="15" hidden="1" customHeight="1" x14ac:dyDescent="0.2">
      <c r="C348" s="58" t="str">
        <f t="shared" si="11"/>
        <v/>
      </c>
      <c r="D348" s="118"/>
      <c r="E348" s="117"/>
      <c r="F348" s="118"/>
      <c r="G348" s="114"/>
      <c r="H348" s="114"/>
      <c r="I348" s="114"/>
      <c r="J348" s="114"/>
      <c r="K348" s="119"/>
      <c r="L348" s="313"/>
      <c r="M348" s="315"/>
      <c r="N348" s="138"/>
      <c r="O348" s="26">
        <f t="shared" si="10"/>
        <v>0</v>
      </c>
      <c r="AA348" s="54"/>
      <c r="AB348" s="54"/>
      <c r="AC348" s="54"/>
      <c r="AD348" s="54"/>
      <c r="AE348" s="54"/>
      <c r="AF348" s="54"/>
    </row>
    <row r="349" spans="1:32" ht="15" hidden="1" customHeight="1" x14ac:dyDescent="0.2">
      <c r="C349" s="58" t="str">
        <f t="shared" si="11"/>
        <v/>
      </c>
      <c r="D349" s="118"/>
      <c r="E349" s="117"/>
      <c r="F349" s="118"/>
      <c r="G349" s="114"/>
      <c r="H349" s="114"/>
      <c r="I349" s="114"/>
      <c r="J349" s="114"/>
      <c r="K349" s="119"/>
      <c r="L349" s="313"/>
      <c r="M349" s="315"/>
      <c r="N349" s="138"/>
      <c r="O349" s="26">
        <f t="shared" si="10"/>
        <v>0</v>
      </c>
      <c r="AA349" s="54"/>
      <c r="AB349" s="54"/>
      <c r="AC349" s="54"/>
      <c r="AD349" s="54"/>
      <c r="AE349" s="54"/>
      <c r="AF349" s="54"/>
    </row>
    <row r="350" spans="1:32" ht="15" hidden="1" customHeight="1" x14ac:dyDescent="0.2">
      <c r="C350" s="58" t="str">
        <f t="shared" si="11"/>
        <v/>
      </c>
      <c r="D350" s="118"/>
      <c r="E350" s="117"/>
      <c r="F350" s="118"/>
      <c r="G350" s="114"/>
      <c r="H350" s="114"/>
      <c r="I350" s="114"/>
      <c r="J350" s="114"/>
      <c r="K350" s="119"/>
      <c r="L350" s="313"/>
      <c r="M350" s="315"/>
      <c r="N350" s="138"/>
      <c r="O350" s="26">
        <f t="shared" si="10"/>
        <v>0</v>
      </c>
      <c r="AA350" s="54"/>
      <c r="AB350" s="54"/>
      <c r="AC350" s="54"/>
      <c r="AD350" s="54"/>
      <c r="AE350" s="54"/>
      <c r="AF350" s="54"/>
    </row>
    <row r="351" spans="1:32" ht="15" hidden="1" customHeight="1" x14ac:dyDescent="0.2">
      <c r="C351" s="58" t="str">
        <f t="shared" si="11"/>
        <v/>
      </c>
      <c r="D351" s="118"/>
      <c r="E351" s="117"/>
      <c r="F351" s="118"/>
      <c r="G351" s="114"/>
      <c r="H351" s="114"/>
      <c r="I351" s="114"/>
      <c r="J351" s="114"/>
      <c r="K351" s="119"/>
      <c r="L351" s="313"/>
      <c r="M351" s="315"/>
      <c r="N351" s="138"/>
      <c r="O351" s="26">
        <f t="shared" si="10"/>
        <v>0</v>
      </c>
      <c r="AA351" s="54"/>
      <c r="AB351" s="54"/>
      <c r="AC351" s="54"/>
      <c r="AD351" s="54"/>
      <c r="AE351" s="54"/>
      <c r="AF351" s="54"/>
    </row>
    <row r="352" spans="1:32" ht="15" hidden="1" customHeight="1" x14ac:dyDescent="0.2">
      <c r="C352" s="58" t="str">
        <f t="shared" si="11"/>
        <v/>
      </c>
      <c r="D352" s="118"/>
      <c r="E352" s="117"/>
      <c r="F352" s="118"/>
      <c r="G352" s="114"/>
      <c r="H352" s="114"/>
      <c r="I352" s="114"/>
      <c r="J352" s="114"/>
      <c r="K352" s="119"/>
      <c r="L352" s="313"/>
      <c r="M352" s="315"/>
      <c r="N352" s="138"/>
      <c r="O352" s="26">
        <f t="shared" si="10"/>
        <v>0</v>
      </c>
      <c r="AA352" s="54"/>
      <c r="AB352" s="54"/>
      <c r="AC352" s="54"/>
      <c r="AD352" s="54"/>
      <c r="AE352" s="54"/>
      <c r="AF352" s="54"/>
    </row>
    <row r="353" spans="3:32" ht="15" hidden="1" customHeight="1" x14ac:dyDescent="0.2">
      <c r="C353" s="58" t="str">
        <f t="shared" si="11"/>
        <v/>
      </c>
      <c r="D353" s="118"/>
      <c r="E353" s="117"/>
      <c r="F353" s="118"/>
      <c r="G353" s="114"/>
      <c r="H353" s="114"/>
      <c r="I353" s="114"/>
      <c r="J353" s="114"/>
      <c r="K353" s="119"/>
      <c r="L353" s="313"/>
      <c r="M353" s="315"/>
      <c r="N353" s="138"/>
      <c r="O353" s="26">
        <f t="shared" si="10"/>
        <v>0</v>
      </c>
      <c r="AA353" s="54"/>
      <c r="AB353" s="54"/>
      <c r="AC353" s="54"/>
      <c r="AD353" s="54"/>
      <c r="AE353" s="54"/>
      <c r="AF353" s="54"/>
    </row>
    <row r="354" spans="3:32" ht="15" hidden="1" customHeight="1" x14ac:dyDescent="0.2">
      <c r="C354" s="58" t="str">
        <f t="shared" si="11"/>
        <v/>
      </c>
      <c r="D354" s="118"/>
      <c r="E354" s="117"/>
      <c r="F354" s="118"/>
      <c r="G354" s="114"/>
      <c r="H354" s="114"/>
      <c r="I354" s="114"/>
      <c r="J354" s="114"/>
      <c r="K354" s="119"/>
      <c r="L354" s="313"/>
      <c r="M354" s="315"/>
      <c r="N354" s="138"/>
      <c r="O354" s="26">
        <f t="shared" si="10"/>
        <v>0</v>
      </c>
      <c r="AA354" s="54"/>
      <c r="AB354" s="54"/>
      <c r="AC354" s="54"/>
      <c r="AD354" s="54"/>
      <c r="AE354" s="54"/>
      <c r="AF354" s="54"/>
    </row>
    <row r="355" spans="3:32" ht="15" hidden="1" customHeight="1" x14ac:dyDescent="0.2">
      <c r="C355" s="58" t="str">
        <f t="shared" si="11"/>
        <v/>
      </c>
      <c r="D355" s="118"/>
      <c r="E355" s="117"/>
      <c r="F355" s="118"/>
      <c r="G355" s="114"/>
      <c r="H355" s="114"/>
      <c r="I355" s="114"/>
      <c r="J355" s="114"/>
      <c r="K355" s="119"/>
      <c r="L355" s="313"/>
      <c r="M355" s="315"/>
      <c r="N355" s="138"/>
      <c r="O355" s="26">
        <f t="shared" si="10"/>
        <v>0</v>
      </c>
      <c r="AA355" s="54"/>
      <c r="AB355" s="54"/>
      <c r="AC355" s="54"/>
      <c r="AD355" s="54"/>
      <c r="AE355" s="54"/>
      <c r="AF355" s="54"/>
    </row>
    <row r="356" spans="3:32" ht="15" hidden="1" customHeight="1" x14ac:dyDescent="0.2">
      <c r="C356" s="58" t="str">
        <f t="shared" si="11"/>
        <v/>
      </c>
      <c r="D356" s="118"/>
      <c r="E356" s="117"/>
      <c r="F356" s="118"/>
      <c r="G356" s="114"/>
      <c r="H356" s="114"/>
      <c r="I356" s="114"/>
      <c r="J356" s="114"/>
      <c r="K356" s="119"/>
      <c r="L356" s="313"/>
      <c r="M356" s="315"/>
      <c r="N356" s="138"/>
      <c r="O356" s="26">
        <f t="shared" si="10"/>
        <v>0</v>
      </c>
      <c r="AA356" s="54"/>
      <c r="AB356" s="54"/>
      <c r="AC356" s="54"/>
      <c r="AD356" s="54"/>
      <c r="AE356" s="54"/>
      <c r="AF356" s="54"/>
    </row>
    <row r="357" spans="3:32" ht="15" hidden="1" customHeight="1" x14ac:dyDescent="0.2">
      <c r="C357" s="58" t="str">
        <f t="shared" si="11"/>
        <v/>
      </c>
      <c r="D357" s="118"/>
      <c r="E357" s="117"/>
      <c r="F357" s="118"/>
      <c r="G357" s="114"/>
      <c r="H357" s="114"/>
      <c r="I357" s="114"/>
      <c r="J357" s="114"/>
      <c r="K357" s="119"/>
      <c r="L357" s="313"/>
      <c r="M357" s="315"/>
      <c r="N357" s="138"/>
      <c r="O357" s="26">
        <f t="shared" si="10"/>
        <v>0</v>
      </c>
      <c r="AA357" s="54"/>
      <c r="AB357" s="54"/>
      <c r="AC357" s="54"/>
      <c r="AD357" s="54"/>
      <c r="AE357" s="54"/>
      <c r="AF357" s="54"/>
    </row>
    <row r="358" spans="3:32" ht="15" hidden="1" customHeight="1" x14ac:dyDescent="0.2">
      <c r="C358" s="58" t="str">
        <f t="shared" si="11"/>
        <v/>
      </c>
      <c r="D358" s="118"/>
      <c r="E358" s="117"/>
      <c r="F358" s="118"/>
      <c r="G358" s="114"/>
      <c r="H358" s="114"/>
      <c r="I358" s="114"/>
      <c r="J358" s="114"/>
      <c r="K358" s="119"/>
      <c r="L358" s="313"/>
      <c r="M358" s="315"/>
      <c r="N358" s="138"/>
      <c r="O358" s="26">
        <f t="shared" si="10"/>
        <v>0</v>
      </c>
      <c r="AA358" s="54"/>
      <c r="AB358" s="54"/>
      <c r="AC358" s="54"/>
      <c r="AD358" s="54"/>
      <c r="AE358" s="54"/>
      <c r="AF358" s="54"/>
    </row>
    <row r="359" spans="3:32" ht="15" hidden="1" customHeight="1" x14ac:dyDescent="0.2">
      <c r="C359" s="58" t="str">
        <f t="shared" si="11"/>
        <v/>
      </c>
      <c r="D359" s="118"/>
      <c r="E359" s="117"/>
      <c r="F359" s="118"/>
      <c r="G359" s="114"/>
      <c r="H359" s="114"/>
      <c r="I359" s="114"/>
      <c r="J359" s="114"/>
      <c r="K359" s="119"/>
      <c r="L359" s="313"/>
      <c r="M359" s="315"/>
      <c r="N359" s="138"/>
      <c r="O359" s="26">
        <f t="shared" si="10"/>
        <v>0</v>
      </c>
      <c r="AA359" s="54"/>
      <c r="AB359" s="54"/>
      <c r="AC359" s="54"/>
      <c r="AD359" s="54"/>
      <c r="AE359" s="54"/>
      <c r="AF359" s="54"/>
    </row>
    <row r="360" spans="3:32" ht="15" hidden="1" customHeight="1" x14ac:dyDescent="0.2">
      <c r="C360" s="58" t="str">
        <f t="shared" si="11"/>
        <v/>
      </c>
      <c r="D360" s="118"/>
      <c r="E360" s="117"/>
      <c r="F360" s="118"/>
      <c r="G360" s="114"/>
      <c r="H360" s="114"/>
      <c r="I360" s="114"/>
      <c r="J360" s="114"/>
      <c r="K360" s="119"/>
      <c r="L360" s="313"/>
      <c r="M360" s="315"/>
      <c r="N360" s="138"/>
      <c r="O360" s="26">
        <f t="shared" si="10"/>
        <v>0</v>
      </c>
      <c r="AA360" s="54"/>
      <c r="AB360" s="54"/>
      <c r="AC360" s="54"/>
      <c r="AD360" s="54"/>
      <c r="AE360" s="54"/>
      <c r="AF360" s="54"/>
    </row>
    <row r="361" spans="3:32" ht="15" hidden="1" customHeight="1" x14ac:dyDescent="0.2">
      <c r="C361" s="58" t="str">
        <f t="shared" si="11"/>
        <v/>
      </c>
      <c r="D361" s="118"/>
      <c r="E361" s="117"/>
      <c r="F361" s="118"/>
      <c r="G361" s="114"/>
      <c r="H361" s="114"/>
      <c r="I361" s="114"/>
      <c r="J361" s="114"/>
      <c r="K361" s="119"/>
      <c r="L361" s="313"/>
      <c r="M361" s="315"/>
      <c r="N361" s="138"/>
      <c r="O361" s="26">
        <f t="shared" si="10"/>
        <v>0</v>
      </c>
      <c r="AA361" s="54"/>
      <c r="AB361" s="54"/>
      <c r="AC361" s="54"/>
      <c r="AD361" s="54"/>
      <c r="AE361" s="54"/>
      <c r="AF361" s="54"/>
    </row>
    <row r="362" spans="3:32" ht="15" hidden="1" customHeight="1" x14ac:dyDescent="0.2">
      <c r="C362" s="58" t="str">
        <f t="shared" si="11"/>
        <v/>
      </c>
      <c r="D362" s="118"/>
      <c r="E362" s="117"/>
      <c r="F362" s="118"/>
      <c r="G362" s="114"/>
      <c r="H362" s="114"/>
      <c r="I362" s="114"/>
      <c r="J362" s="114"/>
      <c r="K362" s="119"/>
      <c r="L362" s="313"/>
      <c r="M362" s="315"/>
      <c r="N362" s="138"/>
      <c r="O362" s="26">
        <f t="shared" si="10"/>
        <v>0</v>
      </c>
      <c r="AA362" s="54"/>
      <c r="AB362" s="54"/>
      <c r="AC362" s="54"/>
      <c r="AD362" s="54"/>
      <c r="AE362" s="54"/>
      <c r="AF362" s="54"/>
    </row>
    <row r="363" spans="3:32" ht="15" hidden="1" customHeight="1" x14ac:dyDescent="0.2">
      <c r="C363" s="58" t="str">
        <f t="shared" si="11"/>
        <v/>
      </c>
      <c r="D363" s="118"/>
      <c r="E363" s="117"/>
      <c r="F363" s="118"/>
      <c r="G363" s="114"/>
      <c r="H363" s="114"/>
      <c r="I363" s="114"/>
      <c r="J363" s="114"/>
      <c r="K363" s="119"/>
      <c r="L363" s="313"/>
      <c r="M363" s="315"/>
      <c r="N363" s="138"/>
      <c r="O363" s="26">
        <f t="shared" si="10"/>
        <v>0</v>
      </c>
      <c r="AA363" s="54"/>
      <c r="AB363" s="54"/>
      <c r="AC363" s="54"/>
      <c r="AD363" s="54"/>
      <c r="AE363" s="54"/>
      <c r="AF363" s="54"/>
    </row>
    <row r="364" spans="3:32" ht="15" hidden="1" customHeight="1" x14ac:dyDescent="0.2">
      <c r="C364" s="58" t="str">
        <f t="shared" si="11"/>
        <v/>
      </c>
      <c r="D364" s="118"/>
      <c r="E364" s="117"/>
      <c r="F364" s="118"/>
      <c r="G364" s="114"/>
      <c r="H364" s="114"/>
      <c r="I364" s="114"/>
      <c r="J364" s="114"/>
      <c r="K364" s="119"/>
      <c r="L364" s="313"/>
      <c r="M364" s="315"/>
      <c r="N364" s="138"/>
      <c r="O364" s="26">
        <f t="shared" si="10"/>
        <v>0</v>
      </c>
      <c r="AA364" s="54"/>
      <c r="AB364" s="54"/>
      <c r="AC364" s="54"/>
      <c r="AD364" s="54"/>
      <c r="AE364" s="54"/>
      <c r="AF364" s="54"/>
    </row>
    <row r="365" spans="3:32" ht="15" hidden="1" customHeight="1" x14ac:dyDescent="0.2">
      <c r="C365" s="58" t="str">
        <f t="shared" si="11"/>
        <v/>
      </c>
      <c r="D365" s="118"/>
      <c r="E365" s="117"/>
      <c r="F365" s="118"/>
      <c r="G365" s="114"/>
      <c r="H365" s="114"/>
      <c r="I365" s="114"/>
      <c r="J365" s="114"/>
      <c r="K365" s="119"/>
      <c r="L365" s="313"/>
      <c r="M365" s="315"/>
      <c r="N365" s="138"/>
      <c r="O365" s="26">
        <f t="shared" si="10"/>
        <v>0</v>
      </c>
      <c r="AA365" s="54"/>
      <c r="AB365" s="54"/>
      <c r="AC365" s="54"/>
      <c r="AD365" s="54"/>
      <c r="AE365" s="54"/>
      <c r="AF365" s="54"/>
    </row>
    <row r="366" spans="3:32" ht="15" hidden="1" customHeight="1" x14ac:dyDescent="0.2">
      <c r="C366" s="58" t="str">
        <f t="shared" si="11"/>
        <v/>
      </c>
      <c r="D366" s="118"/>
      <c r="E366" s="117"/>
      <c r="F366" s="118"/>
      <c r="G366" s="114"/>
      <c r="H366" s="114"/>
      <c r="I366" s="114"/>
      <c r="J366" s="114"/>
      <c r="K366" s="119"/>
      <c r="L366" s="313"/>
      <c r="M366" s="315"/>
      <c r="N366" s="138"/>
      <c r="O366" s="26">
        <f t="shared" si="10"/>
        <v>0</v>
      </c>
      <c r="AA366" s="54"/>
      <c r="AB366" s="54"/>
      <c r="AC366" s="54"/>
      <c r="AD366" s="54"/>
      <c r="AE366" s="54"/>
      <c r="AF366" s="54"/>
    </row>
    <row r="367" spans="3:32" ht="15" hidden="1" customHeight="1" x14ac:dyDescent="0.2">
      <c r="C367" s="58" t="str">
        <f t="shared" si="11"/>
        <v/>
      </c>
      <c r="D367" s="118"/>
      <c r="E367" s="117"/>
      <c r="F367" s="118"/>
      <c r="G367" s="114"/>
      <c r="H367" s="114"/>
      <c r="I367" s="114"/>
      <c r="J367" s="114"/>
      <c r="K367" s="119"/>
      <c r="L367" s="313"/>
      <c r="M367" s="315"/>
      <c r="N367" s="138"/>
      <c r="O367" s="26">
        <f t="shared" si="10"/>
        <v>0</v>
      </c>
      <c r="AA367" s="54"/>
      <c r="AB367" s="54"/>
      <c r="AC367" s="54"/>
      <c r="AD367" s="54"/>
      <c r="AE367" s="54"/>
      <c r="AF367" s="54"/>
    </row>
    <row r="368" spans="3:32" ht="15" hidden="1" customHeight="1" x14ac:dyDescent="0.2">
      <c r="C368" s="58" t="str">
        <f t="shared" si="11"/>
        <v/>
      </c>
      <c r="D368" s="118"/>
      <c r="E368" s="117"/>
      <c r="F368" s="118"/>
      <c r="G368" s="114"/>
      <c r="H368" s="114"/>
      <c r="I368" s="114"/>
      <c r="J368" s="114"/>
      <c r="K368" s="119"/>
      <c r="L368" s="313"/>
      <c r="M368" s="315"/>
      <c r="N368" s="138"/>
      <c r="O368" s="26">
        <f t="shared" si="10"/>
        <v>0</v>
      </c>
      <c r="AA368" s="54"/>
      <c r="AB368" s="54"/>
      <c r="AC368" s="54"/>
      <c r="AD368" s="54"/>
      <c r="AE368" s="54"/>
      <c r="AF368" s="54"/>
    </row>
    <row r="369" spans="1:32" ht="15" hidden="1" customHeight="1" x14ac:dyDescent="0.2">
      <c r="C369" s="58" t="str">
        <f t="shared" si="11"/>
        <v/>
      </c>
      <c r="D369" s="118"/>
      <c r="E369" s="117"/>
      <c r="F369" s="118"/>
      <c r="G369" s="114"/>
      <c r="H369" s="114"/>
      <c r="I369" s="114"/>
      <c r="J369" s="114"/>
      <c r="K369" s="119"/>
      <c r="L369" s="313"/>
      <c r="M369" s="315"/>
      <c r="N369" s="138"/>
      <c r="O369" s="26">
        <f t="shared" si="10"/>
        <v>0</v>
      </c>
      <c r="AA369" s="54"/>
      <c r="AB369" s="54"/>
      <c r="AC369" s="54"/>
      <c r="AD369" s="54"/>
      <c r="AE369" s="54"/>
      <c r="AF369" s="54"/>
    </row>
    <row r="370" spans="1:32" ht="15" hidden="1" customHeight="1" x14ac:dyDescent="0.2">
      <c r="C370" s="58" t="str">
        <f t="shared" si="11"/>
        <v/>
      </c>
      <c r="D370" s="118"/>
      <c r="E370" s="117"/>
      <c r="F370" s="118"/>
      <c r="G370" s="114"/>
      <c r="H370" s="114"/>
      <c r="I370" s="114"/>
      <c r="J370" s="114"/>
      <c r="K370" s="119"/>
      <c r="L370" s="313"/>
      <c r="M370" s="315"/>
      <c r="N370" s="138"/>
      <c r="O370" s="26">
        <f t="shared" si="10"/>
        <v>0</v>
      </c>
      <c r="AA370" s="54"/>
      <c r="AB370" s="54"/>
      <c r="AC370" s="54"/>
      <c r="AD370" s="54"/>
      <c r="AE370" s="54"/>
      <c r="AF370" s="54"/>
    </row>
    <row r="371" spans="1:32" ht="15" hidden="1" customHeight="1" x14ac:dyDescent="0.2">
      <c r="C371" s="58" t="str">
        <f t="shared" si="11"/>
        <v/>
      </c>
      <c r="D371" s="118"/>
      <c r="E371" s="117"/>
      <c r="F371" s="118"/>
      <c r="G371" s="114"/>
      <c r="H371" s="114"/>
      <c r="I371" s="114"/>
      <c r="J371" s="114"/>
      <c r="K371" s="119"/>
      <c r="L371" s="313"/>
      <c r="M371" s="315"/>
      <c r="N371" s="138"/>
      <c r="O371" s="26">
        <f t="shared" si="10"/>
        <v>0</v>
      </c>
      <c r="AA371" s="54"/>
      <c r="AB371" s="54"/>
      <c r="AC371" s="54"/>
      <c r="AD371" s="54"/>
      <c r="AE371" s="54"/>
      <c r="AF371" s="54"/>
    </row>
    <row r="372" spans="1:32" ht="15" hidden="1" customHeight="1" x14ac:dyDescent="0.2">
      <c r="C372" s="58" t="str">
        <f t="shared" si="11"/>
        <v/>
      </c>
      <c r="D372" s="118"/>
      <c r="E372" s="117"/>
      <c r="F372" s="118"/>
      <c r="G372" s="114"/>
      <c r="H372" s="114"/>
      <c r="I372" s="114"/>
      <c r="J372" s="114"/>
      <c r="K372" s="119"/>
      <c r="L372" s="313"/>
      <c r="M372" s="315"/>
      <c r="N372" s="138"/>
      <c r="O372" s="26">
        <f t="shared" si="10"/>
        <v>0</v>
      </c>
      <c r="AA372" s="54"/>
      <c r="AB372" s="54"/>
      <c r="AC372" s="54"/>
      <c r="AD372" s="54"/>
      <c r="AE372" s="54"/>
      <c r="AF372" s="54"/>
    </row>
    <row r="373" spans="1:32" ht="15" hidden="1" customHeight="1" x14ac:dyDescent="0.2">
      <c r="C373" s="58" t="str">
        <f t="shared" si="11"/>
        <v/>
      </c>
      <c r="D373" s="118"/>
      <c r="E373" s="117"/>
      <c r="F373" s="118"/>
      <c r="G373" s="114"/>
      <c r="H373" s="114"/>
      <c r="I373" s="114"/>
      <c r="J373" s="114"/>
      <c r="K373" s="119"/>
      <c r="L373" s="313"/>
      <c r="M373" s="315"/>
      <c r="N373" s="138"/>
      <c r="O373" s="26">
        <f t="shared" si="10"/>
        <v>0</v>
      </c>
      <c r="AA373" s="54"/>
      <c r="AB373" s="54"/>
      <c r="AC373" s="54"/>
      <c r="AD373" s="54"/>
      <c r="AE373" s="54"/>
      <c r="AF373" s="54"/>
    </row>
    <row r="374" spans="1:32" ht="15" hidden="1" customHeight="1" x14ac:dyDescent="0.2">
      <c r="C374" s="58" t="str">
        <f t="shared" si="11"/>
        <v/>
      </c>
      <c r="D374" s="118"/>
      <c r="E374" s="117"/>
      <c r="F374" s="118"/>
      <c r="G374" s="114"/>
      <c r="H374" s="114"/>
      <c r="I374" s="114"/>
      <c r="J374" s="114"/>
      <c r="K374" s="119"/>
      <c r="L374" s="313"/>
      <c r="M374" s="315"/>
      <c r="N374" s="138"/>
      <c r="O374" s="26">
        <f t="shared" si="10"/>
        <v>0</v>
      </c>
      <c r="AA374" s="54"/>
      <c r="AB374" s="54"/>
      <c r="AC374" s="54"/>
      <c r="AD374" s="54"/>
      <c r="AE374" s="54"/>
      <c r="AF374" s="54"/>
    </row>
    <row r="375" spans="1:32" ht="15" hidden="1" customHeight="1" x14ac:dyDescent="0.2">
      <c r="C375" s="58" t="str">
        <f t="shared" si="11"/>
        <v/>
      </c>
      <c r="D375" s="118"/>
      <c r="E375" s="117"/>
      <c r="F375" s="118"/>
      <c r="G375" s="114"/>
      <c r="H375" s="114"/>
      <c r="I375" s="114"/>
      <c r="J375" s="114"/>
      <c r="K375" s="119"/>
      <c r="L375" s="313"/>
      <c r="M375" s="315"/>
      <c r="N375" s="138"/>
      <c r="O375" s="26">
        <f t="shared" si="10"/>
        <v>0</v>
      </c>
      <c r="AA375" s="54"/>
      <c r="AB375" s="54"/>
      <c r="AC375" s="54"/>
      <c r="AD375" s="54"/>
      <c r="AE375" s="54"/>
      <c r="AF375" s="54"/>
    </row>
    <row r="376" spans="1:32" ht="15" hidden="1" customHeight="1" x14ac:dyDescent="0.2">
      <c r="C376" s="58" t="str">
        <f t="shared" si="11"/>
        <v/>
      </c>
      <c r="D376" s="118"/>
      <c r="E376" s="117"/>
      <c r="F376" s="118"/>
      <c r="G376" s="114"/>
      <c r="H376" s="114"/>
      <c r="I376" s="114"/>
      <c r="J376" s="114"/>
      <c r="K376" s="119"/>
      <c r="L376" s="313"/>
      <c r="M376" s="315"/>
      <c r="N376" s="138"/>
      <c r="O376" s="26">
        <f t="shared" si="10"/>
        <v>0</v>
      </c>
      <c r="AA376" s="54"/>
      <c r="AB376" s="54"/>
      <c r="AC376" s="54"/>
      <c r="AD376" s="54"/>
      <c r="AE376" s="54"/>
      <c r="AF376" s="54"/>
    </row>
    <row r="377" spans="1:32" ht="15" hidden="1" customHeight="1" x14ac:dyDescent="0.2">
      <c r="A377" s="28" t="s">
        <v>159</v>
      </c>
      <c r="C377" s="285" t="s">
        <v>291</v>
      </c>
      <c r="D377" s="285"/>
      <c r="E377" s="285"/>
      <c r="F377" s="285"/>
      <c r="G377" s="285"/>
      <c r="H377" s="285"/>
      <c r="I377" s="285"/>
      <c r="J377" s="285"/>
      <c r="K377" s="285"/>
      <c r="L377" s="285"/>
      <c r="M377" s="285"/>
      <c r="N377" s="138"/>
      <c r="AA377" s="54"/>
      <c r="AB377" s="54"/>
      <c r="AC377" s="54"/>
      <c r="AD377" s="54"/>
      <c r="AE377" s="54"/>
      <c r="AF377" s="54"/>
    </row>
    <row r="378" spans="1:32" ht="15" hidden="1" customHeight="1" x14ac:dyDescent="0.2">
      <c r="A378" s="28" t="s">
        <v>282</v>
      </c>
      <c r="C378" s="20" t="s">
        <v>125</v>
      </c>
      <c r="D378" s="286"/>
      <c r="E378" s="287"/>
      <c r="F378" s="287"/>
      <c r="G378" s="287"/>
      <c r="H378" s="287"/>
      <c r="I378" s="287"/>
      <c r="J378" s="287"/>
      <c r="K378" s="287"/>
      <c r="L378" s="287"/>
      <c r="M378" s="288"/>
      <c r="N378" s="138"/>
      <c r="AA378" s="54"/>
      <c r="AB378" s="54"/>
      <c r="AC378" s="54"/>
      <c r="AD378" s="54"/>
      <c r="AE378" s="54"/>
      <c r="AF378" s="54"/>
    </row>
    <row r="379" spans="1:32" ht="15" hidden="1" customHeight="1" x14ac:dyDescent="0.2">
      <c r="C379" s="295"/>
      <c r="D379" s="289"/>
      <c r="E379" s="290"/>
      <c r="F379" s="290"/>
      <c r="G379" s="290"/>
      <c r="H379" s="290"/>
      <c r="I379" s="290"/>
      <c r="J379" s="290"/>
      <c r="K379" s="290"/>
      <c r="L379" s="290"/>
      <c r="M379" s="291"/>
      <c r="N379" s="138"/>
      <c r="AA379" s="54"/>
      <c r="AB379" s="54"/>
      <c r="AC379" s="54"/>
      <c r="AD379" s="54"/>
      <c r="AE379" s="54"/>
      <c r="AF379" s="54"/>
    </row>
    <row r="380" spans="1:32" ht="15" hidden="1" customHeight="1" x14ac:dyDescent="0.2">
      <c r="A380" s="28" t="s">
        <v>298</v>
      </c>
      <c r="C380" s="295"/>
      <c r="D380" s="289"/>
      <c r="E380" s="290"/>
      <c r="F380" s="290"/>
      <c r="G380" s="290"/>
      <c r="H380" s="290"/>
      <c r="I380" s="290"/>
      <c r="J380" s="290"/>
      <c r="K380" s="290"/>
      <c r="L380" s="290"/>
      <c r="M380" s="291"/>
      <c r="N380" s="138"/>
      <c r="AA380" s="54"/>
      <c r="AB380" s="54"/>
      <c r="AC380" s="54"/>
      <c r="AD380" s="54"/>
      <c r="AE380" s="54"/>
      <c r="AF380" s="54"/>
    </row>
    <row r="381" spans="1:32" ht="15" hidden="1" customHeight="1" x14ac:dyDescent="0.2">
      <c r="A381" s="28" t="s">
        <v>46</v>
      </c>
      <c r="C381" s="295"/>
      <c r="D381" s="289"/>
      <c r="E381" s="290"/>
      <c r="F381" s="290"/>
      <c r="G381" s="290"/>
      <c r="H381" s="290"/>
      <c r="I381" s="290"/>
      <c r="J381" s="290"/>
      <c r="K381" s="290"/>
      <c r="L381" s="290"/>
      <c r="M381" s="291"/>
      <c r="N381" s="138"/>
      <c r="AA381" s="54"/>
      <c r="AB381" s="54"/>
      <c r="AC381" s="54"/>
      <c r="AD381" s="54"/>
      <c r="AE381" s="54"/>
      <c r="AF381" s="54"/>
    </row>
    <row r="382" spans="1:32" ht="15" hidden="1" customHeight="1" x14ac:dyDescent="0.2">
      <c r="C382" s="295"/>
      <c r="D382" s="292"/>
      <c r="E382" s="293"/>
      <c r="F382" s="293"/>
      <c r="G382" s="293"/>
      <c r="H382" s="293"/>
      <c r="I382" s="293"/>
      <c r="J382" s="293"/>
      <c r="K382" s="293"/>
      <c r="L382" s="293"/>
      <c r="M382" s="294"/>
      <c r="N382" s="138"/>
      <c r="AA382" s="54"/>
      <c r="AB382" s="54"/>
      <c r="AC382" s="54"/>
      <c r="AD382" s="54"/>
      <c r="AE382" s="54"/>
      <c r="AF382" s="54"/>
    </row>
    <row r="383" spans="1:32" ht="15" hidden="1" customHeight="1" thickBot="1" x14ac:dyDescent="0.25">
      <c r="C383" s="296"/>
      <c r="D383" s="296"/>
      <c r="E383" s="296"/>
      <c r="F383" s="296"/>
      <c r="G383" s="296"/>
      <c r="H383" s="296"/>
      <c r="I383" s="296"/>
      <c r="J383" s="296"/>
      <c r="K383" s="296"/>
      <c r="L383" s="296"/>
      <c r="M383" s="296"/>
      <c r="N383" s="138"/>
      <c r="AA383" s="54"/>
      <c r="AB383" s="54"/>
      <c r="AC383" s="54"/>
      <c r="AD383" s="54"/>
      <c r="AE383" s="54"/>
      <c r="AF383" s="54"/>
    </row>
    <row r="384" spans="1:32" ht="15" hidden="1" customHeight="1" thickBot="1" x14ac:dyDescent="0.25">
      <c r="C384" s="332"/>
      <c r="D384" s="332"/>
      <c r="E384" s="332"/>
      <c r="F384" s="332"/>
      <c r="G384" s="332"/>
      <c r="H384" s="332"/>
      <c r="I384" s="332"/>
      <c r="J384" s="332"/>
      <c r="K384" s="332"/>
      <c r="L384" s="332"/>
      <c r="M384" s="332"/>
      <c r="N384" s="138"/>
      <c r="AA384" s="54"/>
      <c r="AB384" s="54"/>
      <c r="AC384" s="54"/>
      <c r="AD384" s="54"/>
      <c r="AE384" s="54"/>
      <c r="AF384" s="54"/>
    </row>
    <row r="385" spans="1:32" ht="15" customHeight="1" thickBot="1" x14ac:dyDescent="0.25">
      <c r="A385" s="134" t="b">
        <v>0</v>
      </c>
      <c r="C385" s="304" t="s">
        <v>300</v>
      </c>
      <c r="D385" s="304"/>
      <c r="E385" s="304"/>
      <c r="F385" s="243"/>
      <c r="G385" s="243"/>
      <c r="H385" s="243"/>
      <c r="I385" s="243"/>
      <c r="J385" s="243"/>
      <c r="K385" s="243"/>
      <c r="L385" s="243"/>
      <c r="M385" s="243"/>
      <c r="N385" s="138"/>
      <c r="O385" s="26">
        <f>SUM(O389:O414)</f>
        <v>0</v>
      </c>
      <c r="AA385" s="54"/>
      <c r="AB385" s="54">
        <f>ROW()</f>
        <v>385</v>
      </c>
      <c r="AC385" s="54">
        <v>5</v>
      </c>
      <c r="AD385" s="54">
        <f>AB385+43</f>
        <v>428</v>
      </c>
      <c r="AE385" s="54">
        <f>AB385+1</f>
        <v>386</v>
      </c>
      <c r="AF385" s="54">
        <f>AB385+50</f>
        <v>435</v>
      </c>
    </row>
    <row r="386" spans="1:32" ht="15" hidden="1" customHeight="1" x14ac:dyDescent="0.2">
      <c r="C386" s="316" t="s">
        <v>301</v>
      </c>
      <c r="D386" s="316"/>
      <c r="E386" s="316"/>
      <c r="F386" s="115" t="s">
        <v>147</v>
      </c>
      <c r="G386" s="317"/>
      <c r="H386" s="317"/>
      <c r="I386" s="317"/>
      <c r="J386" s="317"/>
      <c r="K386" s="317"/>
      <c r="L386" s="317" t="s">
        <v>275</v>
      </c>
      <c r="M386" s="317"/>
      <c r="N386" s="136" t="str">
        <f>IF(COUNTA(D389:D428,D430)=0,"XXX","")</f>
        <v>XXX</v>
      </c>
      <c r="AA386" s="54"/>
      <c r="AB386" s="54"/>
      <c r="AC386" s="54"/>
      <c r="AD386" s="54"/>
      <c r="AE386" s="54"/>
      <c r="AF386" s="54"/>
    </row>
    <row r="387" spans="1:32" ht="15" hidden="1" customHeight="1" x14ac:dyDescent="0.2">
      <c r="C387" s="163" t="s">
        <v>161</v>
      </c>
      <c r="D387" s="163" t="s">
        <v>304</v>
      </c>
      <c r="E387" s="163" t="s">
        <v>305</v>
      </c>
      <c r="F387" s="163" t="s">
        <v>269</v>
      </c>
      <c r="G387" s="163" t="s">
        <v>100</v>
      </c>
      <c r="H387" s="163" t="s">
        <v>306</v>
      </c>
      <c r="I387" s="163" t="s">
        <v>299</v>
      </c>
      <c r="J387" s="209" t="s">
        <v>45</v>
      </c>
      <c r="K387" s="210"/>
      <c r="L387" s="210"/>
      <c r="M387" s="259"/>
      <c r="N387" s="138"/>
      <c r="AA387" s="54"/>
      <c r="AB387" s="54"/>
      <c r="AC387" s="54"/>
      <c r="AD387" s="54"/>
      <c r="AE387" s="54"/>
      <c r="AF387" s="54"/>
    </row>
    <row r="388" spans="1:32" ht="15" hidden="1" customHeight="1" x14ac:dyDescent="0.2">
      <c r="A388" s="28" t="s">
        <v>302</v>
      </c>
      <c r="C388" s="164"/>
      <c r="D388" s="164"/>
      <c r="E388" s="164"/>
      <c r="F388" s="164"/>
      <c r="G388" s="164"/>
      <c r="H388" s="164"/>
      <c r="I388" s="164"/>
      <c r="J388" s="211"/>
      <c r="K388" s="212"/>
      <c r="L388" s="212"/>
      <c r="M388" s="260"/>
      <c r="N388" s="138"/>
      <c r="AA388" s="54"/>
      <c r="AB388" s="54"/>
      <c r="AC388" s="54"/>
      <c r="AD388" s="54"/>
      <c r="AE388" s="54"/>
      <c r="AF388" s="54"/>
    </row>
    <row r="389" spans="1:32" ht="15" hidden="1" customHeight="1" x14ac:dyDescent="0.2">
      <c r="A389" s="28" t="s">
        <v>303</v>
      </c>
      <c r="C389" s="58" t="str">
        <f>IF(O389&gt;0,1,"")</f>
        <v/>
      </c>
      <c r="D389" s="117"/>
      <c r="E389" s="118"/>
      <c r="F389" s="118"/>
      <c r="G389" s="114"/>
      <c r="H389" s="114"/>
      <c r="I389" s="114"/>
      <c r="J389" s="313"/>
      <c r="K389" s="314"/>
      <c r="L389" s="314"/>
      <c r="M389" s="315"/>
      <c r="N389" s="138"/>
      <c r="O389" s="26">
        <f t="shared" ref="O389:O428" si="12">IF(COUNTA(D389:M389)=0,0,1)</f>
        <v>0</v>
      </c>
      <c r="AA389" s="54"/>
      <c r="AB389" s="54"/>
      <c r="AC389" s="54"/>
      <c r="AD389" s="54"/>
      <c r="AE389" s="54"/>
      <c r="AF389" s="54"/>
    </row>
    <row r="390" spans="1:32" ht="15" hidden="1" customHeight="1" x14ac:dyDescent="0.2">
      <c r="A390" s="28" t="s">
        <v>282</v>
      </c>
      <c r="C390" s="58" t="str">
        <f t="shared" ref="C390:C428" si="13">IF(O390&gt;0,1+C389,"")</f>
        <v/>
      </c>
      <c r="D390" s="117"/>
      <c r="E390" s="118"/>
      <c r="F390" s="118"/>
      <c r="G390" s="114"/>
      <c r="H390" s="114"/>
      <c r="I390" s="114"/>
      <c r="J390" s="313"/>
      <c r="K390" s="314"/>
      <c r="L390" s="314"/>
      <c r="M390" s="315"/>
      <c r="N390" s="138"/>
      <c r="O390" s="26">
        <f t="shared" si="12"/>
        <v>0</v>
      </c>
      <c r="AA390" s="54"/>
      <c r="AB390" s="54"/>
      <c r="AC390" s="54"/>
      <c r="AD390" s="54"/>
      <c r="AE390" s="54"/>
      <c r="AF390" s="54"/>
    </row>
    <row r="391" spans="1:32" ht="15" hidden="1" customHeight="1" x14ac:dyDescent="0.2">
      <c r="A391" s="28" t="s">
        <v>298</v>
      </c>
      <c r="C391" s="58" t="str">
        <f t="shared" si="13"/>
        <v/>
      </c>
      <c r="D391" s="117"/>
      <c r="E391" s="118"/>
      <c r="F391" s="118"/>
      <c r="G391" s="114"/>
      <c r="H391" s="114"/>
      <c r="I391" s="114"/>
      <c r="J391" s="313"/>
      <c r="K391" s="314"/>
      <c r="L391" s="314"/>
      <c r="M391" s="315"/>
      <c r="N391" s="138"/>
      <c r="O391" s="26">
        <f t="shared" si="12"/>
        <v>0</v>
      </c>
      <c r="AA391" s="54"/>
      <c r="AB391" s="54"/>
      <c r="AC391" s="54"/>
      <c r="AD391" s="54"/>
      <c r="AE391" s="54"/>
      <c r="AF391" s="54"/>
    </row>
    <row r="392" spans="1:32" ht="15" hidden="1" customHeight="1" x14ac:dyDescent="0.2">
      <c r="A392" s="28" t="s">
        <v>46</v>
      </c>
      <c r="C392" s="58" t="str">
        <f t="shared" si="13"/>
        <v/>
      </c>
      <c r="D392" s="117"/>
      <c r="E392" s="118"/>
      <c r="F392" s="118"/>
      <c r="G392" s="114"/>
      <c r="H392" s="114"/>
      <c r="I392" s="114"/>
      <c r="J392" s="313"/>
      <c r="K392" s="314"/>
      <c r="L392" s="314"/>
      <c r="M392" s="315"/>
      <c r="N392" s="138"/>
      <c r="O392" s="26">
        <f t="shared" si="12"/>
        <v>0</v>
      </c>
      <c r="AA392" s="54"/>
      <c r="AB392" s="54"/>
      <c r="AC392" s="54"/>
      <c r="AD392" s="54"/>
      <c r="AE392" s="54"/>
      <c r="AF392" s="54"/>
    </row>
    <row r="393" spans="1:32" ht="15" hidden="1" customHeight="1" x14ac:dyDescent="0.2">
      <c r="C393" s="58" t="str">
        <f t="shared" si="13"/>
        <v/>
      </c>
      <c r="D393" s="117"/>
      <c r="E393" s="118"/>
      <c r="F393" s="118"/>
      <c r="G393" s="114"/>
      <c r="H393" s="114"/>
      <c r="I393" s="114"/>
      <c r="J393" s="313"/>
      <c r="K393" s="314"/>
      <c r="L393" s="314"/>
      <c r="M393" s="315"/>
      <c r="N393" s="138"/>
      <c r="O393" s="26">
        <f t="shared" si="12"/>
        <v>0</v>
      </c>
      <c r="AA393" s="54"/>
      <c r="AB393" s="54"/>
      <c r="AC393" s="54"/>
      <c r="AD393" s="54"/>
      <c r="AE393" s="54"/>
      <c r="AF393" s="54"/>
    </row>
    <row r="394" spans="1:32" ht="15" hidden="1" customHeight="1" x14ac:dyDescent="0.2">
      <c r="A394" s="28" t="s">
        <v>307</v>
      </c>
      <c r="C394" s="58" t="str">
        <f t="shared" si="13"/>
        <v/>
      </c>
      <c r="D394" s="117"/>
      <c r="E394" s="118"/>
      <c r="F394" s="118"/>
      <c r="G394" s="114"/>
      <c r="H394" s="114"/>
      <c r="I394" s="114"/>
      <c r="J394" s="313"/>
      <c r="K394" s="314"/>
      <c r="L394" s="314"/>
      <c r="M394" s="315"/>
      <c r="N394" s="138"/>
      <c r="O394" s="26">
        <f t="shared" si="12"/>
        <v>0</v>
      </c>
      <c r="AA394" s="54"/>
      <c r="AB394" s="54"/>
      <c r="AC394" s="54"/>
      <c r="AD394" s="54"/>
      <c r="AE394" s="54"/>
      <c r="AF394" s="54"/>
    </row>
    <row r="395" spans="1:32" ht="15" hidden="1" customHeight="1" x14ac:dyDescent="0.2">
      <c r="A395" s="28" t="s">
        <v>308</v>
      </c>
      <c r="C395" s="58" t="str">
        <f t="shared" si="13"/>
        <v/>
      </c>
      <c r="D395" s="117"/>
      <c r="E395" s="118"/>
      <c r="F395" s="118"/>
      <c r="G395" s="114"/>
      <c r="H395" s="114"/>
      <c r="I395" s="114"/>
      <c r="J395" s="313"/>
      <c r="K395" s="314"/>
      <c r="L395" s="314"/>
      <c r="M395" s="315"/>
      <c r="N395" s="138"/>
      <c r="O395" s="26">
        <f t="shared" si="12"/>
        <v>0</v>
      </c>
      <c r="AA395" s="54"/>
      <c r="AB395" s="54"/>
      <c r="AC395" s="54"/>
      <c r="AD395" s="54"/>
      <c r="AE395" s="54"/>
      <c r="AF395" s="54"/>
    </row>
    <row r="396" spans="1:32" ht="15" hidden="1" customHeight="1" x14ac:dyDescent="0.2">
      <c r="C396" s="58" t="str">
        <f t="shared" si="13"/>
        <v/>
      </c>
      <c r="D396" s="117"/>
      <c r="E396" s="118"/>
      <c r="F396" s="118"/>
      <c r="G396" s="114"/>
      <c r="H396" s="114"/>
      <c r="I396" s="114"/>
      <c r="J396" s="313"/>
      <c r="K396" s="314"/>
      <c r="L396" s="314"/>
      <c r="M396" s="315"/>
      <c r="N396" s="138"/>
      <c r="O396" s="26">
        <f t="shared" si="12"/>
        <v>0</v>
      </c>
      <c r="AA396" s="54"/>
      <c r="AB396" s="54"/>
      <c r="AC396" s="54"/>
      <c r="AD396" s="54"/>
      <c r="AE396" s="54"/>
      <c r="AF396" s="54"/>
    </row>
    <row r="397" spans="1:32" ht="15" hidden="1" customHeight="1" x14ac:dyDescent="0.2">
      <c r="C397" s="58" t="str">
        <f t="shared" si="13"/>
        <v/>
      </c>
      <c r="D397" s="117"/>
      <c r="E397" s="118"/>
      <c r="F397" s="118"/>
      <c r="G397" s="114"/>
      <c r="H397" s="114"/>
      <c r="I397" s="114"/>
      <c r="J397" s="313"/>
      <c r="K397" s="314"/>
      <c r="L397" s="314"/>
      <c r="M397" s="315"/>
      <c r="N397" s="138"/>
      <c r="O397" s="26">
        <f t="shared" si="12"/>
        <v>0</v>
      </c>
      <c r="AA397" s="54"/>
      <c r="AB397" s="54"/>
      <c r="AC397" s="54"/>
      <c r="AD397" s="54"/>
      <c r="AE397" s="54"/>
      <c r="AF397" s="54"/>
    </row>
    <row r="398" spans="1:32" ht="15" hidden="1" customHeight="1" x14ac:dyDescent="0.2">
      <c r="C398" s="58" t="str">
        <f t="shared" si="13"/>
        <v/>
      </c>
      <c r="D398" s="117"/>
      <c r="E398" s="118"/>
      <c r="F398" s="118"/>
      <c r="G398" s="114"/>
      <c r="H398" s="114"/>
      <c r="I398" s="114"/>
      <c r="J398" s="313"/>
      <c r="K398" s="314"/>
      <c r="L398" s="314"/>
      <c r="M398" s="315"/>
      <c r="N398" s="138"/>
      <c r="O398" s="26">
        <f t="shared" si="12"/>
        <v>0</v>
      </c>
      <c r="AA398" s="54"/>
      <c r="AB398" s="54"/>
      <c r="AC398" s="54"/>
      <c r="AD398" s="54"/>
      <c r="AE398" s="54"/>
      <c r="AF398" s="54"/>
    </row>
    <row r="399" spans="1:32" ht="15" hidden="1" customHeight="1" x14ac:dyDescent="0.2">
      <c r="C399" s="58" t="str">
        <f t="shared" si="13"/>
        <v/>
      </c>
      <c r="D399" s="117"/>
      <c r="E399" s="118"/>
      <c r="F399" s="118"/>
      <c r="G399" s="114"/>
      <c r="H399" s="114"/>
      <c r="I399" s="114"/>
      <c r="J399" s="313"/>
      <c r="K399" s="314"/>
      <c r="L399" s="314"/>
      <c r="M399" s="315"/>
      <c r="N399" s="138"/>
      <c r="O399" s="26">
        <f t="shared" si="12"/>
        <v>0</v>
      </c>
      <c r="AA399" s="54"/>
      <c r="AB399" s="54"/>
      <c r="AC399" s="54"/>
      <c r="AD399" s="54"/>
      <c r="AE399" s="54"/>
      <c r="AF399" s="54"/>
    </row>
    <row r="400" spans="1:32" ht="15" hidden="1" customHeight="1" x14ac:dyDescent="0.2">
      <c r="C400" s="58" t="str">
        <f t="shared" si="13"/>
        <v/>
      </c>
      <c r="D400" s="117"/>
      <c r="E400" s="118"/>
      <c r="F400" s="118"/>
      <c r="G400" s="114"/>
      <c r="H400" s="114"/>
      <c r="I400" s="114"/>
      <c r="J400" s="313"/>
      <c r="K400" s="314"/>
      <c r="L400" s="314"/>
      <c r="M400" s="315"/>
      <c r="N400" s="138"/>
      <c r="O400" s="26">
        <f t="shared" si="12"/>
        <v>0</v>
      </c>
      <c r="AA400" s="54"/>
      <c r="AB400" s="54"/>
      <c r="AC400" s="54"/>
      <c r="AD400" s="54"/>
      <c r="AE400" s="54"/>
      <c r="AF400" s="54"/>
    </row>
    <row r="401" spans="3:32" ht="15" hidden="1" customHeight="1" x14ac:dyDescent="0.2">
      <c r="C401" s="58" t="str">
        <f t="shared" si="13"/>
        <v/>
      </c>
      <c r="D401" s="117"/>
      <c r="E401" s="118"/>
      <c r="F401" s="118"/>
      <c r="G401" s="114"/>
      <c r="H401" s="114"/>
      <c r="I401" s="114"/>
      <c r="J401" s="313"/>
      <c r="K401" s="314"/>
      <c r="L401" s="314"/>
      <c r="M401" s="315"/>
      <c r="N401" s="138"/>
      <c r="O401" s="26">
        <f t="shared" si="12"/>
        <v>0</v>
      </c>
      <c r="AA401" s="54"/>
      <c r="AB401" s="54"/>
      <c r="AC401" s="54"/>
      <c r="AD401" s="54"/>
      <c r="AE401" s="54"/>
      <c r="AF401" s="54"/>
    </row>
    <row r="402" spans="3:32" ht="15" hidden="1" customHeight="1" x14ac:dyDescent="0.2">
      <c r="C402" s="58" t="str">
        <f t="shared" si="13"/>
        <v/>
      </c>
      <c r="D402" s="117"/>
      <c r="E402" s="118"/>
      <c r="F402" s="118"/>
      <c r="G402" s="114"/>
      <c r="H402" s="114"/>
      <c r="I402" s="114"/>
      <c r="J402" s="313"/>
      <c r="K402" s="314"/>
      <c r="L402" s="314"/>
      <c r="M402" s="315"/>
      <c r="N402" s="138"/>
      <c r="O402" s="26">
        <f t="shared" si="12"/>
        <v>0</v>
      </c>
      <c r="AA402" s="54"/>
      <c r="AB402" s="54"/>
      <c r="AC402" s="54"/>
      <c r="AD402" s="54"/>
      <c r="AE402" s="54"/>
      <c r="AF402" s="54"/>
    </row>
    <row r="403" spans="3:32" ht="15" hidden="1" customHeight="1" x14ac:dyDescent="0.2">
      <c r="C403" s="58" t="str">
        <f t="shared" si="13"/>
        <v/>
      </c>
      <c r="D403" s="117"/>
      <c r="E403" s="118"/>
      <c r="F403" s="118"/>
      <c r="G403" s="114"/>
      <c r="H403" s="114"/>
      <c r="I403" s="114"/>
      <c r="J403" s="313"/>
      <c r="K403" s="314"/>
      <c r="L403" s="314"/>
      <c r="M403" s="315"/>
      <c r="N403" s="138"/>
      <c r="O403" s="26">
        <f t="shared" si="12"/>
        <v>0</v>
      </c>
      <c r="AA403" s="54"/>
      <c r="AB403" s="54"/>
      <c r="AC403" s="54"/>
      <c r="AD403" s="54"/>
      <c r="AE403" s="54"/>
      <c r="AF403" s="54"/>
    </row>
    <row r="404" spans="3:32" ht="15" hidden="1" customHeight="1" x14ac:dyDescent="0.2">
      <c r="C404" s="58" t="str">
        <f t="shared" si="13"/>
        <v/>
      </c>
      <c r="D404" s="117"/>
      <c r="E404" s="118"/>
      <c r="F404" s="118"/>
      <c r="G404" s="114"/>
      <c r="H404" s="114"/>
      <c r="I404" s="114"/>
      <c r="J404" s="313"/>
      <c r="K404" s="314"/>
      <c r="L404" s="314"/>
      <c r="M404" s="315"/>
      <c r="N404" s="138"/>
      <c r="O404" s="26">
        <f t="shared" si="12"/>
        <v>0</v>
      </c>
      <c r="AA404" s="54"/>
      <c r="AB404" s="54"/>
      <c r="AC404" s="54"/>
      <c r="AD404" s="54"/>
      <c r="AE404" s="54"/>
      <c r="AF404" s="54"/>
    </row>
    <row r="405" spans="3:32" ht="15" hidden="1" customHeight="1" x14ac:dyDescent="0.2">
      <c r="C405" s="58" t="str">
        <f t="shared" si="13"/>
        <v/>
      </c>
      <c r="D405" s="117"/>
      <c r="E405" s="118"/>
      <c r="F405" s="118"/>
      <c r="G405" s="114"/>
      <c r="H405" s="114"/>
      <c r="I405" s="114"/>
      <c r="J405" s="313"/>
      <c r="K405" s="314"/>
      <c r="L405" s="314"/>
      <c r="M405" s="315"/>
      <c r="N405" s="138"/>
      <c r="O405" s="26">
        <f t="shared" si="12"/>
        <v>0</v>
      </c>
      <c r="AA405" s="54"/>
      <c r="AB405" s="54"/>
      <c r="AC405" s="54"/>
      <c r="AD405" s="54"/>
      <c r="AE405" s="54"/>
      <c r="AF405" s="54"/>
    </row>
    <row r="406" spans="3:32" ht="15" hidden="1" customHeight="1" x14ac:dyDescent="0.2">
      <c r="C406" s="58" t="str">
        <f t="shared" si="13"/>
        <v/>
      </c>
      <c r="D406" s="117"/>
      <c r="E406" s="118"/>
      <c r="F406" s="118"/>
      <c r="G406" s="114"/>
      <c r="H406" s="114"/>
      <c r="I406" s="114"/>
      <c r="J406" s="313"/>
      <c r="K406" s="314"/>
      <c r="L406" s="314"/>
      <c r="M406" s="315"/>
      <c r="N406" s="138"/>
      <c r="O406" s="26">
        <f t="shared" si="12"/>
        <v>0</v>
      </c>
      <c r="AA406" s="54"/>
      <c r="AB406" s="54"/>
      <c r="AC406" s="54"/>
      <c r="AD406" s="54"/>
      <c r="AE406" s="54"/>
      <c r="AF406" s="54"/>
    </row>
    <row r="407" spans="3:32" ht="15" hidden="1" customHeight="1" x14ac:dyDescent="0.2">
      <c r="C407" s="58" t="str">
        <f t="shared" si="13"/>
        <v/>
      </c>
      <c r="D407" s="117"/>
      <c r="E407" s="118"/>
      <c r="F407" s="118"/>
      <c r="G407" s="114"/>
      <c r="H407" s="114"/>
      <c r="I407" s="114"/>
      <c r="J407" s="313"/>
      <c r="K407" s="314"/>
      <c r="L407" s="314"/>
      <c r="M407" s="315"/>
      <c r="N407" s="138"/>
      <c r="O407" s="26">
        <f t="shared" si="12"/>
        <v>0</v>
      </c>
      <c r="AA407" s="54"/>
      <c r="AB407" s="54"/>
      <c r="AC407" s="54"/>
      <c r="AD407" s="54"/>
      <c r="AE407" s="54"/>
      <c r="AF407" s="54"/>
    </row>
    <row r="408" spans="3:32" ht="15" hidden="1" customHeight="1" x14ac:dyDescent="0.2">
      <c r="C408" s="58" t="str">
        <f t="shared" si="13"/>
        <v/>
      </c>
      <c r="D408" s="117"/>
      <c r="E408" s="118"/>
      <c r="F408" s="118"/>
      <c r="G408" s="114"/>
      <c r="H408" s="114"/>
      <c r="I408" s="114"/>
      <c r="J408" s="313"/>
      <c r="K408" s="314"/>
      <c r="L408" s="314"/>
      <c r="M408" s="315"/>
      <c r="N408" s="138"/>
      <c r="O408" s="26">
        <f t="shared" si="12"/>
        <v>0</v>
      </c>
      <c r="AA408" s="54"/>
      <c r="AB408" s="54"/>
      <c r="AC408" s="54"/>
      <c r="AD408" s="54"/>
      <c r="AE408" s="54"/>
      <c r="AF408" s="54"/>
    </row>
    <row r="409" spans="3:32" ht="15" hidden="1" customHeight="1" x14ac:dyDescent="0.2">
      <c r="C409" s="58" t="str">
        <f t="shared" si="13"/>
        <v/>
      </c>
      <c r="D409" s="117"/>
      <c r="E409" s="118"/>
      <c r="F409" s="118"/>
      <c r="G409" s="114"/>
      <c r="H409" s="114"/>
      <c r="I409" s="114"/>
      <c r="J409" s="313"/>
      <c r="K409" s="314"/>
      <c r="L409" s="314"/>
      <c r="M409" s="315"/>
      <c r="N409" s="138"/>
      <c r="O409" s="26">
        <f t="shared" si="12"/>
        <v>0</v>
      </c>
      <c r="AA409" s="54"/>
      <c r="AB409" s="54"/>
      <c r="AC409" s="54"/>
      <c r="AD409" s="54"/>
      <c r="AE409" s="54"/>
      <c r="AF409" s="54"/>
    </row>
    <row r="410" spans="3:32" ht="15" hidden="1" customHeight="1" x14ac:dyDescent="0.2">
      <c r="C410" s="58" t="str">
        <f t="shared" si="13"/>
        <v/>
      </c>
      <c r="D410" s="117"/>
      <c r="E410" s="118"/>
      <c r="F410" s="118"/>
      <c r="G410" s="114"/>
      <c r="H410" s="114"/>
      <c r="I410" s="114"/>
      <c r="J410" s="313"/>
      <c r="K410" s="314"/>
      <c r="L410" s="314"/>
      <c r="M410" s="315"/>
      <c r="N410" s="138"/>
      <c r="O410" s="26">
        <f t="shared" si="12"/>
        <v>0</v>
      </c>
      <c r="AA410" s="54"/>
      <c r="AB410" s="54"/>
      <c r="AC410" s="54"/>
      <c r="AD410" s="54"/>
      <c r="AE410" s="54"/>
      <c r="AF410" s="54"/>
    </row>
    <row r="411" spans="3:32" ht="15" hidden="1" customHeight="1" x14ac:dyDescent="0.2">
      <c r="C411" s="58" t="str">
        <f t="shared" si="13"/>
        <v/>
      </c>
      <c r="D411" s="117"/>
      <c r="E411" s="118"/>
      <c r="F411" s="118"/>
      <c r="G411" s="114"/>
      <c r="H411" s="114"/>
      <c r="I411" s="114"/>
      <c r="J411" s="313"/>
      <c r="K411" s="314"/>
      <c r="L411" s="314"/>
      <c r="M411" s="315"/>
      <c r="N411" s="138"/>
      <c r="O411" s="26">
        <f t="shared" si="12"/>
        <v>0</v>
      </c>
      <c r="AA411" s="54"/>
      <c r="AB411" s="54"/>
      <c r="AC411" s="54"/>
      <c r="AD411" s="54"/>
      <c r="AE411" s="54"/>
      <c r="AF411" s="54"/>
    </row>
    <row r="412" spans="3:32" ht="15" hidden="1" customHeight="1" x14ac:dyDescent="0.2">
      <c r="C412" s="58" t="str">
        <f t="shared" si="13"/>
        <v/>
      </c>
      <c r="D412" s="117"/>
      <c r="E412" s="118"/>
      <c r="F412" s="118"/>
      <c r="G412" s="114"/>
      <c r="H412" s="114"/>
      <c r="I412" s="114"/>
      <c r="J412" s="313"/>
      <c r="K412" s="314"/>
      <c r="L412" s="314"/>
      <c r="M412" s="315"/>
      <c r="N412" s="138"/>
      <c r="O412" s="26">
        <f t="shared" si="12"/>
        <v>0</v>
      </c>
      <c r="AA412" s="54"/>
      <c r="AB412" s="54"/>
      <c r="AC412" s="54"/>
      <c r="AD412" s="54"/>
      <c r="AE412" s="54"/>
      <c r="AF412" s="54"/>
    </row>
    <row r="413" spans="3:32" ht="15" hidden="1" customHeight="1" x14ac:dyDescent="0.2">
      <c r="C413" s="58" t="str">
        <f t="shared" si="13"/>
        <v/>
      </c>
      <c r="D413" s="117"/>
      <c r="E413" s="118"/>
      <c r="F413" s="118"/>
      <c r="G413" s="114"/>
      <c r="H413" s="114"/>
      <c r="I413" s="114"/>
      <c r="J413" s="313"/>
      <c r="K413" s="314"/>
      <c r="L413" s="314"/>
      <c r="M413" s="315"/>
      <c r="N413" s="138"/>
      <c r="O413" s="26">
        <f t="shared" si="12"/>
        <v>0</v>
      </c>
      <c r="AA413" s="54"/>
      <c r="AB413" s="54"/>
      <c r="AC413" s="54"/>
      <c r="AD413" s="54"/>
      <c r="AE413" s="54"/>
      <c r="AF413" s="54"/>
    </row>
    <row r="414" spans="3:32" ht="15" hidden="1" customHeight="1" x14ac:dyDescent="0.2">
      <c r="C414" s="58" t="str">
        <f t="shared" si="13"/>
        <v/>
      </c>
      <c r="D414" s="117"/>
      <c r="E414" s="118"/>
      <c r="F414" s="118"/>
      <c r="G414" s="114"/>
      <c r="H414" s="114"/>
      <c r="I414" s="114"/>
      <c r="J414" s="313"/>
      <c r="K414" s="314"/>
      <c r="L414" s="314"/>
      <c r="M414" s="315"/>
      <c r="N414" s="138"/>
      <c r="O414" s="26">
        <f t="shared" si="12"/>
        <v>0</v>
      </c>
      <c r="AA414" s="54"/>
      <c r="AB414" s="54"/>
      <c r="AC414" s="54"/>
      <c r="AD414" s="54"/>
      <c r="AE414" s="54"/>
      <c r="AF414" s="54"/>
    </row>
    <row r="415" spans="3:32" ht="15" hidden="1" customHeight="1" x14ac:dyDescent="0.2">
      <c r="C415" s="58" t="str">
        <f t="shared" si="13"/>
        <v/>
      </c>
      <c r="D415" s="117"/>
      <c r="E415" s="118"/>
      <c r="F415" s="118"/>
      <c r="G415" s="114"/>
      <c r="H415" s="114"/>
      <c r="I415" s="114"/>
      <c r="J415" s="313"/>
      <c r="K415" s="314"/>
      <c r="L415" s="314"/>
      <c r="M415" s="315"/>
      <c r="N415" s="138"/>
      <c r="O415" s="26">
        <f t="shared" si="12"/>
        <v>0</v>
      </c>
      <c r="AA415" s="54"/>
      <c r="AB415" s="54"/>
      <c r="AC415" s="54"/>
      <c r="AD415" s="54"/>
      <c r="AE415" s="54"/>
      <c r="AF415" s="54"/>
    </row>
    <row r="416" spans="3:32" ht="15" hidden="1" customHeight="1" x14ac:dyDescent="0.2">
      <c r="C416" s="58" t="str">
        <f t="shared" si="13"/>
        <v/>
      </c>
      <c r="D416" s="117"/>
      <c r="E416" s="118"/>
      <c r="F416" s="118"/>
      <c r="G416" s="114"/>
      <c r="H416" s="114"/>
      <c r="I416" s="114"/>
      <c r="J416" s="313"/>
      <c r="K416" s="314"/>
      <c r="L416" s="314"/>
      <c r="M416" s="315"/>
      <c r="N416" s="138"/>
      <c r="O416" s="26">
        <f t="shared" si="12"/>
        <v>0</v>
      </c>
      <c r="AA416" s="54"/>
      <c r="AB416" s="54"/>
      <c r="AC416" s="54"/>
      <c r="AD416" s="54"/>
      <c r="AE416" s="54"/>
      <c r="AF416" s="54"/>
    </row>
    <row r="417" spans="1:32" ht="15" hidden="1" customHeight="1" x14ac:dyDescent="0.2">
      <c r="C417" s="58" t="str">
        <f t="shared" si="13"/>
        <v/>
      </c>
      <c r="D417" s="117"/>
      <c r="E417" s="118"/>
      <c r="F417" s="118"/>
      <c r="G417" s="114"/>
      <c r="H417" s="114"/>
      <c r="I417" s="114"/>
      <c r="J417" s="313"/>
      <c r="K417" s="314"/>
      <c r="L417" s="314"/>
      <c r="M417" s="315"/>
      <c r="N417" s="138"/>
      <c r="O417" s="26">
        <f t="shared" si="12"/>
        <v>0</v>
      </c>
      <c r="AA417" s="54"/>
      <c r="AB417" s="54"/>
      <c r="AC417" s="54"/>
      <c r="AD417" s="54"/>
      <c r="AE417" s="54"/>
      <c r="AF417" s="54"/>
    </row>
    <row r="418" spans="1:32" ht="15" hidden="1" customHeight="1" x14ac:dyDescent="0.2">
      <c r="C418" s="58" t="str">
        <f t="shared" si="13"/>
        <v/>
      </c>
      <c r="D418" s="117"/>
      <c r="E418" s="118"/>
      <c r="F418" s="118"/>
      <c r="G418" s="114"/>
      <c r="H418" s="114"/>
      <c r="I418" s="114"/>
      <c r="J418" s="313"/>
      <c r="K418" s="314"/>
      <c r="L418" s="314"/>
      <c r="M418" s="315"/>
      <c r="N418" s="138"/>
      <c r="O418" s="26">
        <f t="shared" si="12"/>
        <v>0</v>
      </c>
      <c r="AA418" s="54"/>
      <c r="AB418" s="54"/>
      <c r="AC418" s="54"/>
      <c r="AD418" s="54"/>
      <c r="AE418" s="54"/>
      <c r="AF418" s="54"/>
    </row>
    <row r="419" spans="1:32" ht="15" hidden="1" customHeight="1" x14ac:dyDescent="0.2">
      <c r="C419" s="58" t="str">
        <f t="shared" si="13"/>
        <v/>
      </c>
      <c r="D419" s="117"/>
      <c r="E419" s="118"/>
      <c r="F419" s="118"/>
      <c r="G419" s="114"/>
      <c r="H419" s="114"/>
      <c r="I419" s="114"/>
      <c r="J419" s="313"/>
      <c r="K419" s="314"/>
      <c r="L419" s="314"/>
      <c r="M419" s="315"/>
      <c r="N419" s="138"/>
      <c r="O419" s="26">
        <f t="shared" si="12"/>
        <v>0</v>
      </c>
      <c r="AA419" s="54"/>
      <c r="AB419" s="54"/>
      <c r="AC419" s="54"/>
      <c r="AD419" s="54"/>
      <c r="AE419" s="54"/>
      <c r="AF419" s="54"/>
    </row>
    <row r="420" spans="1:32" ht="15" hidden="1" customHeight="1" x14ac:dyDescent="0.2">
      <c r="C420" s="58" t="str">
        <f t="shared" si="13"/>
        <v/>
      </c>
      <c r="D420" s="117"/>
      <c r="E420" s="118"/>
      <c r="F420" s="118"/>
      <c r="G420" s="114"/>
      <c r="H420" s="114"/>
      <c r="I420" s="114"/>
      <c r="J420" s="313"/>
      <c r="K420" s="314"/>
      <c r="L420" s="314"/>
      <c r="M420" s="315"/>
      <c r="N420" s="138"/>
      <c r="O420" s="26">
        <f t="shared" si="12"/>
        <v>0</v>
      </c>
      <c r="AA420" s="54"/>
      <c r="AB420" s="54"/>
      <c r="AC420" s="54"/>
      <c r="AD420" s="54"/>
      <c r="AE420" s="54"/>
      <c r="AF420" s="54"/>
    </row>
    <row r="421" spans="1:32" ht="15" hidden="1" customHeight="1" x14ac:dyDescent="0.2">
      <c r="C421" s="58" t="str">
        <f t="shared" si="13"/>
        <v/>
      </c>
      <c r="D421" s="117"/>
      <c r="E421" s="118"/>
      <c r="F421" s="118"/>
      <c r="G421" s="114"/>
      <c r="H421" s="114"/>
      <c r="I421" s="114"/>
      <c r="J421" s="313"/>
      <c r="K421" s="314"/>
      <c r="L421" s="314"/>
      <c r="M421" s="315"/>
      <c r="N421" s="138"/>
      <c r="O421" s="26">
        <f t="shared" si="12"/>
        <v>0</v>
      </c>
      <c r="AA421" s="54"/>
      <c r="AB421" s="54"/>
      <c r="AC421" s="54"/>
      <c r="AD421" s="54"/>
      <c r="AE421" s="54"/>
      <c r="AF421" s="54"/>
    </row>
    <row r="422" spans="1:32" ht="15" hidden="1" customHeight="1" x14ac:dyDescent="0.2">
      <c r="C422" s="58" t="str">
        <f t="shared" si="13"/>
        <v/>
      </c>
      <c r="D422" s="117"/>
      <c r="E422" s="118"/>
      <c r="F422" s="118"/>
      <c r="G422" s="114"/>
      <c r="H422" s="114"/>
      <c r="I422" s="114"/>
      <c r="J422" s="313"/>
      <c r="K422" s="314"/>
      <c r="L422" s="314"/>
      <c r="M422" s="315"/>
      <c r="N422" s="138"/>
      <c r="O422" s="26">
        <f t="shared" si="12"/>
        <v>0</v>
      </c>
      <c r="AA422" s="54"/>
      <c r="AB422" s="54"/>
      <c r="AC422" s="54"/>
      <c r="AD422" s="54"/>
      <c r="AE422" s="54"/>
      <c r="AF422" s="54"/>
    </row>
    <row r="423" spans="1:32" ht="15" hidden="1" customHeight="1" x14ac:dyDescent="0.2">
      <c r="C423" s="58" t="str">
        <f t="shared" si="13"/>
        <v/>
      </c>
      <c r="D423" s="117"/>
      <c r="E423" s="118"/>
      <c r="F423" s="118"/>
      <c r="G423" s="114"/>
      <c r="H423" s="114"/>
      <c r="I423" s="114"/>
      <c r="J423" s="313"/>
      <c r="K423" s="314"/>
      <c r="L423" s="314"/>
      <c r="M423" s="315"/>
      <c r="N423" s="138"/>
      <c r="O423" s="26">
        <f t="shared" si="12"/>
        <v>0</v>
      </c>
      <c r="AA423" s="54"/>
      <c r="AB423" s="54"/>
      <c r="AC423" s="54"/>
      <c r="AD423" s="54"/>
      <c r="AE423" s="54"/>
      <c r="AF423" s="54"/>
    </row>
    <row r="424" spans="1:32" ht="15" hidden="1" customHeight="1" x14ac:dyDescent="0.2">
      <c r="C424" s="58" t="str">
        <f t="shared" si="13"/>
        <v/>
      </c>
      <c r="D424" s="117"/>
      <c r="E424" s="118"/>
      <c r="F424" s="118"/>
      <c r="G424" s="114"/>
      <c r="H424" s="114"/>
      <c r="I424" s="114"/>
      <c r="J424" s="313"/>
      <c r="K424" s="314"/>
      <c r="L424" s="314"/>
      <c r="M424" s="315"/>
      <c r="N424" s="138"/>
      <c r="O424" s="26">
        <f t="shared" si="12"/>
        <v>0</v>
      </c>
      <c r="AA424" s="54"/>
      <c r="AB424" s="54"/>
      <c r="AC424" s="54"/>
      <c r="AD424" s="54"/>
      <c r="AE424" s="54"/>
      <c r="AF424" s="54"/>
    </row>
    <row r="425" spans="1:32" ht="15" hidden="1" customHeight="1" x14ac:dyDescent="0.2">
      <c r="C425" s="58" t="str">
        <f t="shared" si="13"/>
        <v/>
      </c>
      <c r="D425" s="117"/>
      <c r="E425" s="118"/>
      <c r="F425" s="118"/>
      <c r="G425" s="114"/>
      <c r="H425" s="114"/>
      <c r="I425" s="114"/>
      <c r="J425" s="313"/>
      <c r="K425" s="314"/>
      <c r="L425" s="314"/>
      <c r="M425" s="315"/>
      <c r="N425" s="138"/>
      <c r="O425" s="26">
        <f t="shared" si="12"/>
        <v>0</v>
      </c>
      <c r="AA425" s="54"/>
      <c r="AB425" s="54"/>
      <c r="AC425" s="54"/>
      <c r="AD425" s="54"/>
      <c r="AE425" s="54"/>
      <c r="AF425" s="54"/>
    </row>
    <row r="426" spans="1:32" ht="15" hidden="1" customHeight="1" x14ac:dyDescent="0.2">
      <c r="C426" s="58" t="str">
        <f t="shared" si="13"/>
        <v/>
      </c>
      <c r="D426" s="117"/>
      <c r="E426" s="118"/>
      <c r="F426" s="118"/>
      <c r="G426" s="114"/>
      <c r="H426" s="114"/>
      <c r="I426" s="114"/>
      <c r="J426" s="313"/>
      <c r="K426" s="314"/>
      <c r="L426" s="314"/>
      <c r="M426" s="315"/>
      <c r="N426" s="138"/>
      <c r="O426" s="26">
        <f t="shared" si="12"/>
        <v>0</v>
      </c>
      <c r="AA426" s="54"/>
      <c r="AB426" s="54"/>
      <c r="AC426" s="54"/>
      <c r="AD426" s="54"/>
      <c r="AE426" s="54"/>
      <c r="AF426" s="54"/>
    </row>
    <row r="427" spans="1:32" ht="15" hidden="1" customHeight="1" x14ac:dyDescent="0.2">
      <c r="C427" s="58" t="str">
        <f t="shared" si="13"/>
        <v/>
      </c>
      <c r="D427" s="117"/>
      <c r="E427" s="118"/>
      <c r="F427" s="118"/>
      <c r="G427" s="114"/>
      <c r="H427" s="114"/>
      <c r="I427" s="114"/>
      <c r="J427" s="313"/>
      <c r="K427" s="314"/>
      <c r="L427" s="314"/>
      <c r="M427" s="315"/>
      <c r="N427" s="138"/>
      <c r="O427" s="26">
        <f t="shared" si="12"/>
        <v>0</v>
      </c>
      <c r="AA427" s="54"/>
      <c r="AB427" s="54"/>
      <c r="AC427" s="54"/>
      <c r="AD427" s="54"/>
      <c r="AE427" s="54"/>
      <c r="AF427" s="54"/>
    </row>
    <row r="428" spans="1:32" ht="15" hidden="1" customHeight="1" x14ac:dyDescent="0.2">
      <c r="C428" s="58" t="str">
        <f t="shared" si="13"/>
        <v/>
      </c>
      <c r="D428" s="117"/>
      <c r="E428" s="118"/>
      <c r="F428" s="118"/>
      <c r="G428" s="114"/>
      <c r="H428" s="114"/>
      <c r="I428" s="114"/>
      <c r="J428" s="313"/>
      <c r="K428" s="314"/>
      <c r="L428" s="314"/>
      <c r="M428" s="315"/>
      <c r="N428" s="138"/>
      <c r="O428" s="26">
        <f t="shared" si="12"/>
        <v>0</v>
      </c>
      <c r="AA428" s="54"/>
      <c r="AB428" s="54"/>
      <c r="AC428" s="54"/>
      <c r="AD428" s="54"/>
      <c r="AE428" s="54"/>
      <c r="AF428" s="54"/>
    </row>
    <row r="429" spans="1:32" ht="15" hidden="1" customHeight="1" x14ac:dyDescent="0.2">
      <c r="A429" s="28" t="s">
        <v>159</v>
      </c>
      <c r="C429" s="285"/>
      <c r="D429" s="285"/>
      <c r="E429" s="285"/>
      <c r="F429" s="285"/>
      <c r="G429" s="285"/>
      <c r="H429" s="285"/>
      <c r="I429" s="285"/>
      <c r="J429" s="285"/>
      <c r="K429" s="285"/>
      <c r="L429" s="285"/>
      <c r="M429" s="285"/>
      <c r="N429" s="138"/>
      <c r="AA429" s="54"/>
      <c r="AB429" s="54"/>
      <c r="AC429" s="54"/>
      <c r="AD429" s="54"/>
      <c r="AE429" s="54"/>
      <c r="AF429" s="54"/>
    </row>
    <row r="430" spans="1:32" ht="15" hidden="1" customHeight="1" x14ac:dyDescent="0.2">
      <c r="A430" s="28" t="s">
        <v>282</v>
      </c>
      <c r="C430" s="20" t="s">
        <v>125</v>
      </c>
      <c r="D430" s="286"/>
      <c r="E430" s="287"/>
      <c r="F430" s="287"/>
      <c r="G430" s="287"/>
      <c r="H430" s="287"/>
      <c r="I430" s="287"/>
      <c r="J430" s="287"/>
      <c r="K430" s="287"/>
      <c r="L430" s="287"/>
      <c r="M430" s="288"/>
      <c r="N430" s="138"/>
      <c r="AA430" s="54"/>
      <c r="AB430" s="54"/>
      <c r="AC430" s="54"/>
      <c r="AD430" s="54"/>
      <c r="AE430" s="54"/>
      <c r="AF430" s="54"/>
    </row>
    <row r="431" spans="1:32" ht="15" hidden="1" customHeight="1" x14ac:dyDescent="0.2">
      <c r="C431" s="295"/>
      <c r="D431" s="289"/>
      <c r="E431" s="290"/>
      <c r="F431" s="290"/>
      <c r="G431" s="290"/>
      <c r="H431" s="290"/>
      <c r="I431" s="290"/>
      <c r="J431" s="290"/>
      <c r="K431" s="290"/>
      <c r="L431" s="290"/>
      <c r="M431" s="291"/>
      <c r="N431" s="138"/>
      <c r="AA431" s="54"/>
      <c r="AB431" s="54"/>
      <c r="AC431" s="54"/>
      <c r="AD431" s="54"/>
      <c r="AE431" s="54"/>
      <c r="AF431" s="54"/>
    </row>
    <row r="432" spans="1:32" ht="15" hidden="1" customHeight="1" x14ac:dyDescent="0.2">
      <c r="A432" s="28" t="s">
        <v>298</v>
      </c>
      <c r="C432" s="295"/>
      <c r="D432" s="289"/>
      <c r="E432" s="290"/>
      <c r="F432" s="290"/>
      <c r="G432" s="290"/>
      <c r="H432" s="290"/>
      <c r="I432" s="290"/>
      <c r="J432" s="290"/>
      <c r="K432" s="290"/>
      <c r="L432" s="290"/>
      <c r="M432" s="291"/>
      <c r="N432" s="138"/>
      <c r="AA432" s="54"/>
      <c r="AB432" s="54"/>
      <c r="AC432" s="54"/>
      <c r="AD432" s="54"/>
      <c r="AE432" s="54"/>
      <c r="AF432" s="54"/>
    </row>
    <row r="433" spans="1:32" ht="15" hidden="1" customHeight="1" x14ac:dyDescent="0.2">
      <c r="A433" s="28" t="s">
        <v>46</v>
      </c>
      <c r="C433" s="295"/>
      <c r="D433" s="289"/>
      <c r="E433" s="290"/>
      <c r="F433" s="290"/>
      <c r="G433" s="290"/>
      <c r="H433" s="290"/>
      <c r="I433" s="290"/>
      <c r="J433" s="290"/>
      <c r="K433" s="290"/>
      <c r="L433" s="290"/>
      <c r="M433" s="291"/>
      <c r="N433" s="138"/>
      <c r="AA433" s="54"/>
      <c r="AB433" s="54"/>
      <c r="AC433" s="54"/>
      <c r="AD433" s="54"/>
      <c r="AE433" s="54"/>
      <c r="AF433" s="54"/>
    </row>
    <row r="434" spans="1:32" ht="15" hidden="1" customHeight="1" x14ac:dyDescent="0.2">
      <c r="C434" s="295"/>
      <c r="D434" s="292"/>
      <c r="E434" s="293"/>
      <c r="F434" s="293"/>
      <c r="G434" s="293"/>
      <c r="H434" s="293"/>
      <c r="I434" s="293"/>
      <c r="J434" s="293"/>
      <c r="K434" s="293"/>
      <c r="L434" s="293"/>
      <c r="M434" s="294"/>
      <c r="N434" s="138"/>
      <c r="AA434" s="54"/>
      <c r="AB434" s="54"/>
      <c r="AC434" s="54"/>
      <c r="AD434" s="54"/>
      <c r="AE434" s="54"/>
      <c r="AF434" s="54"/>
    </row>
    <row r="435" spans="1:32" ht="15" hidden="1" customHeight="1" thickBot="1" x14ac:dyDescent="0.25">
      <c r="C435" s="296"/>
      <c r="D435" s="296"/>
      <c r="E435" s="296"/>
      <c r="F435" s="296"/>
      <c r="G435" s="296"/>
      <c r="H435" s="296"/>
      <c r="I435" s="296"/>
      <c r="J435" s="296"/>
      <c r="K435" s="296"/>
      <c r="L435" s="296"/>
      <c r="M435" s="296"/>
      <c r="N435" s="138"/>
      <c r="AA435" s="54"/>
      <c r="AB435" s="54"/>
      <c r="AC435" s="54"/>
      <c r="AD435" s="54"/>
      <c r="AE435" s="54"/>
      <c r="AF435" s="54"/>
    </row>
    <row r="436" spans="1:32" ht="15" hidden="1" customHeight="1" thickBot="1" x14ac:dyDescent="0.25">
      <c r="C436" s="332"/>
      <c r="D436" s="332"/>
      <c r="E436" s="332"/>
      <c r="F436" s="332"/>
      <c r="G436" s="332"/>
      <c r="H436" s="332"/>
      <c r="I436" s="332"/>
      <c r="J436" s="332"/>
      <c r="K436" s="332"/>
      <c r="L436" s="332"/>
      <c r="M436" s="332"/>
      <c r="N436" s="138"/>
      <c r="AA436" s="54"/>
      <c r="AB436" s="54"/>
      <c r="AC436" s="54"/>
      <c r="AD436" s="54"/>
      <c r="AE436" s="54"/>
      <c r="AF436" s="54"/>
    </row>
    <row r="437" spans="1:32" ht="15" customHeight="1" thickBot="1" x14ac:dyDescent="0.25">
      <c r="A437" s="134" t="b">
        <v>0</v>
      </c>
      <c r="C437" s="304" t="s">
        <v>312</v>
      </c>
      <c r="D437" s="304"/>
      <c r="E437" s="304"/>
      <c r="F437" s="243"/>
      <c r="G437" s="243"/>
      <c r="H437" s="243"/>
      <c r="I437" s="243"/>
      <c r="J437" s="243"/>
      <c r="K437" s="243"/>
      <c r="L437" s="243"/>
      <c r="M437" s="243"/>
      <c r="N437" s="138"/>
      <c r="O437" s="26">
        <f>SUM(O441:O466)</f>
        <v>0</v>
      </c>
      <c r="AA437" s="54"/>
      <c r="AB437" s="54">
        <f>ROW()</f>
        <v>437</v>
      </c>
      <c r="AC437" s="54">
        <v>5</v>
      </c>
      <c r="AD437" s="54">
        <f>AB437+43</f>
        <v>480</v>
      </c>
      <c r="AE437" s="54">
        <f>AB437+1</f>
        <v>438</v>
      </c>
      <c r="AF437" s="54">
        <f>AB437+50</f>
        <v>487</v>
      </c>
    </row>
    <row r="438" spans="1:32" ht="15" hidden="1" customHeight="1" x14ac:dyDescent="0.2">
      <c r="C438" s="316" t="s">
        <v>313</v>
      </c>
      <c r="D438" s="316"/>
      <c r="E438" s="316"/>
      <c r="F438" s="115" t="s">
        <v>147</v>
      </c>
      <c r="G438" s="317"/>
      <c r="H438" s="317"/>
      <c r="I438" s="317"/>
      <c r="J438" s="317"/>
      <c r="K438" s="317"/>
      <c r="L438" s="317" t="s">
        <v>275</v>
      </c>
      <c r="M438" s="317"/>
      <c r="N438" s="136" t="str">
        <f>IF(COUNTA(D441:D480,D482)=0,"XXX","")</f>
        <v>XXX</v>
      </c>
      <c r="AA438" s="54"/>
      <c r="AB438" s="54"/>
      <c r="AC438" s="54"/>
      <c r="AD438" s="54"/>
      <c r="AE438" s="54"/>
      <c r="AF438" s="54"/>
    </row>
    <row r="439" spans="1:32" ht="15" hidden="1" customHeight="1" x14ac:dyDescent="0.2">
      <c r="C439" s="163" t="s">
        <v>161</v>
      </c>
      <c r="D439" s="163" t="s">
        <v>314</v>
      </c>
      <c r="E439" s="163" t="s">
        <v>99</v>
      </c>
      <c r="F439" s="163" t="s">
        <v>176</v>
      </c>
      <c r="G439" s="163" t="s">
        <v>100</v>
      </c>
      <c r="H439" s="163" t="s">
        <v>315</v>
      </c>
      <c r="I439" s="163" t="s">
        <v>311</v>
      </c>
      <c r="J439" s="163" t="s">
        <v>299</v>
      </c>
      <c r="K439" s="209" t="s">
        <v>45</v>
      </c>
      <c r="L439" s="210"/>
      <c r="M439" s="259"/>
      <c r="N439" s="138"/>
      <c r="AA439" s="54"/>
      <c r="AB439" s="54"/>
      <c r="AC439" s="54"/>
      <c r="AD439" s="54"/>
      <c r="AE439" s="54"/>
      <c r="AF439" s="54"/>
    </row>
    <row r="440" spans="1:32" ht="15" hidden="1" customHeight="1" x14ac:dyDescent="0.2">
      <c r="A440" s="28" t="s">
        <v>302</v>
      </c>
      <c r="C440" s="164"/>
      <c r="D440" s="164"/>
      <c r="E440" s="164"/>
      <c r="F440" s="164"/>
      <c r="G440" s="164"/>
      <c r="H440" s="164"/>
      <c r="I440" s="164"/>
      <c r="J440" s="164"/>
      <c r="K440" s="211"/>
      <c r="L440" s="212"/>
      <c r="M440" s="260"/>
      <c r="N440" s="138"/>
      <c r="AA440" s="54"/>
      <c r="AB440" s="54"/>
      <c r="AC440" s="54"/>
      <c r="AD440" s="54"/>
      <c r="AE440" s="54"/>
      <c r="AF440" s="54"/>
    </row>
    <row r="441" spans="1:32" ht="15" hidden="1" customHeight="1" x14ac:dyDescent="0.2">
      <c r="A441" s="28" t="s">
        <v>303</v>
      </c>
      <c r="C441" s="58" t="str">
        <f>IF(O441&gt;0,1,"")</f>
        <v/>
      </c>
      <c r="D441" s="116"/>
      <c r="E441" s="114"/>
      <c r="F441" s="114"/>
      <c r="G441" s="114"/>
      <c r="H441" s="114"/>
      <c r="I441" s="114"/>
      <c r="J441" s="114"/>
      <c r="K441" s="313"/>
      <c r="L441" s="314"/>
      <c r="M441" s="315"/>
      <c r="N441" s="138"/>
      <c r="O441" s="26">
        <f t="shared" ref="O441:O480" si="14">IF(COUNTA(D441:M441)=0,0,1)</f>
        <v>0</v>
      </c>
      <c r="AA441" s="54"/>
      <c r="AB441" s="54"/>
      <c r="AC441" s="54"/>
      <c r="AD441" s="54"/>
      <c r="AE441" s="54"/>
      <c r="AF441" s="54"/>
    </row>
    <row r="442" spans="1:32" ht="15" hidden="1" customHeight="1" x14ac:dyDescent="0.2">
      <c r="A442" s="28" t="s">
        <v>282</v>
      </c>
      <c r="C442" s="58" t="str">
        <f t="shared" ref="C442:C480" si="15">IF(O442&gt;0,1+C441,"")</f>
        <v/>
      </c>
      <c r="D442" s="116"/>
      <c r="E442" s="114"/>
      <c r="F442" s="114"/>
      <c r="G442" s="114"/>
      <c r="H442" s="114"/>
      <c r="I442" s="114"/>
      <c r="J442" s="114"/>
      <c r="K442" s="313"/>
      <c r="L442" s="314"/>
      <c r="M442" s="315"/>
      <c r="N442" s="138"/>
      <c r="O442" s="26">
        <f t="shared" si="14"/>
        <v>0</v>
      </c>
      <c r="AA442" s="54"/>
      <c r="AB442" s="54"/>
      <c r="AC442" s="54"/>
      <c r="AD442" s="54"/>
      <c r="AE442" s="54"/>
      <c r="AF442" s="54"/>
    </row>
    <row r="443" spans="1:32" ht="15" hidden="1" customHeight="1" x14ac:dyDescent="0.2">
      <c r="A443" s="28" t="s">
        <v>298</v>
      </c>
      <c r="C443" s="58" t="str">
        <f t="shared" si="15"/>
        <v/>
      </c>
      <c r="D443" s="116"/>
      <c r="E443" s="114"/>
      <c r="F443" s="114"/>
      <c r="G443" s="114"/>
      <c r="H443" s="114"/>
      <c r="I443" s="114"/>
      <c r="J443" s="114"/>
      <c r="K443" s="313"/>
      <c r="L443" s="314"/>
      <c r="M443" s="315"/>
      <c r="N443" s="138"/>
      <c r="O443" s="26">
        <f t="shared" si="14"/>
        <v>0</v>
      </c>
      <c r="AA443" s="54"/>
      <c r="AB443" s="54"/>
      <c r="AC443" s="54"/>
      <c r="AD443" s="54"/>
      <c r="AE443" s="54"/>
      <c r="AF443" s="54"/>
    </row>
    <row r="444" spans="1:32" ht="15" hidden="1" customHeight="1" x14ac:dyDescent="0.2">
      <c r="A444" s="28" t="s">
        <v>46</v>
      </c>
      <c r="C444" s="58" t="str">
        <f t="shared" si="15"/>
        <v/>
      </c>
      <c r="D444" s="116"/>
      <c r="E444" s="114"/>
      <c r="F444" s="114"/>
      <c r="G444" s="114"/>
      <c r="H444" s="114"/>
      <c r="I444" s="114"/>
      <c r="J444" s="114"/>
      <c r="K444" s="313"/>
      <c r="L444" s="314"/>
      <c r="M444" s="315"/>
      <c r="N444" s="138"/>
      <c r="O444" s="26">
        <f t="shared" si="14"/>
        <v>0</v>
      </c>
      <c r="AA444" s="54"/>
      <c r="AB444" s="54"/>
      <c r="AC444" s="54"/>
      <c r="AD444" s="54"/>
      <c r="AE444" s="54"/>
      <c r="AF444" s="54"/>
    </row>
    <row r="445" spans="1:32" ht="15" hidden="1" customHeight="1" x14ac:dyDescent="0.2">
      <c r="C445" s="58" t="str">
        <f t="shared" si="15"/>
        <v/>
      </c>
      <c r="D445" s="116"/>
      <c r="E445" s="114"/>
      <c r="F445" s="114"/>
      <c r="G445" s="114"/>
      <c r="H445" s="114"/>
      <c r="I445" s="114"/>
      <c r="J445" s="114"/>
      <c r="K445" s="313"/>
      <c r="L445" s="314"/>
      <c r="M445" s="315"/>
      <c r="N445" s="138"/>
      <c r="O445" s="26">
        <f t="shared" si="14"/>
        <v>0</v>
      </c>
      <c r="AA445" s="54"/>
      <c r="AB445" s="54"/>
      <c r="AC445" s="54"/>
      <c r="AD445" s="54"/>
      <c r="AE445" s="54"/>
      <c r="AF445" s="54"/>
    </row>
    <row r="446" spans="1:32" ht="15" hidden="1" customHeight="1" x14ac:dyDescent="0.2">
      <c r="A446" s="28" t="s">
        <v>307</v>
      </c>
      <c r="C446" s="58" t="str">
        <f t="shared" si="15"/>
        <v/>
      </c>
      <c r="D446" s="116"/>
      <c r="E446" s="114"/>
      <c r="F446" s="114"/>
      <c r="G446" s="114"/>
      <c r="H446" s="114"/>
      <c r="I446" s="114"/>
      <c r="J446" s="114"/>
      <c r="K446" s="313"/>
      <c r="L446" s="314"/>
      <c r="M446" s="315"/>
      <c r="N446" s="138"/>
      <c r="O446" s="26">
        <f t="shared" si="14"/>
        <v>0</v>
      </c>
      <c r="AA446" s="54"/>
      <c r="AB446" s="54"/>
      <c r="AC446" s="54"/>
      <c r="AD446" s="54"/>
      <c r="AE446" s="54"/>
      <c r="AF446" s="54"/>
    </row>
    <row r="447" spans="1:32" ht="15" hidden="1" customHeight="1" x14ac:dyDescent="0.2">
      <c r="A447" s="28" t="s">
        <v>308</v>
      </c>
      <c r="C447" s="58" t="str">
        <f t="shared" si="15"/>
        <v/>
      </c>
      <c r="D447" s="116"/>
      <c r="E447" s="114"/>
      <c r="F447" s="114"/>
      <c r="G447" s="114"/>
      <c r="H447" s="114"/>
      <c r="I447" s="114"/>
      <c r="J447" s="114"/>
      <c r="K447" s="313"/>
      <c r="L447" s="314"/>
      <c r="M447" s="315"/>
      <c r="N447" s="138"/>
      <c r="O447" s="26">
        <f t="shared" si="14"/>
        <v>0</v>
      </c>
      <c r="AA447" s="54"/>
      <c r="AB447" s="54"/>
      <c r="AC447" s="54"/>
      <c r="AD447" s="54"/>
      <c r="AE447" s="54"/>
      <c r="AF447" s="54"/>
    </row>
    <row r="448" spans="1:32" ht="15" hidden="1" customHeight="1" x14ac:dyDescent="0.2">
      <c r="C448" s="58" t="str">
        <f t="shared" si="15"/>
        <v/>
      </c>
      <c r="D448" s="116"/>
      <c r="E448" s="114"/>
      <c r="F448" s="114"/>
      <c r="G448" s="114"/>
      <c r="H448" s="114"/>
      <c r="I448" s="114"/>
      <c r="J448" s="114"/>
      <c r="K448" s="313"/>
      <c r="L448" s="314"/>
      <c r="M448" s="315"/>
      <c r="N448" s="138"/>
      <c r="O448" s="26">
        <f t="shared" si="14"/>
        <v>0</v>
      </c>
      <c r="AA448" s="54"/>
      <c r="AB448" s="54"/>
      <c r="AC448" s="54"/>
      <c r="AD448" s="54"/>
      <c r="AE448" s="54"/>
      <c r="AF448" s="54"/>
    </row>
    <row r="449" spans="3:32" ht="15" hidden="1" customHeight="1" x14ac:dyDescent="0.2">
      <c r="C449" s="58" t="str">
        <f t="shared" si="15"/>
        <v/>
      </c>
      <c r="D449" s="116"/>
      <c r="E449" s="114"/>
      <c r="F449" s="114"/>
      <c r="G449" s="114"/>
      <c r="H449" s="114"/>
      <c r="I449" s="114"/>
      <c r="J449" s="114"/>
      <c r="K449" s="313"/>
      <c r="L449" s="314"/>
      <c r="M449" s="315"/>
      <c r="N449" s="138"/>
      <c r="O449" s="26">
        <f t="shared" si="14"/>
        <v>0</v>
      </c>
      <c r="AA449" s="54"/>
      <c r="AB449" s="54"/>
      <c r="AC449" s="54"/>
      <c r="AD449" s="54"/>
      <c r="AE449" s="54"/>
      <c r="AF449" s="54"/>
    </row>
    <row r="450" spans="3:32" ht="15" hidden="1" customHeight="1" x14ac:dyDescent="0.2">
      <c r="C450" s="58" t="str">
        <f t="shared" si="15"/>
        <v/>
      </c>
      <c r="D450" s="116"/>
      <c r="E450" s="114"/>
      <c r="F450" s="114"/>
      <c r="G450" s="114"/>
      <c r="H450" s="114"/>
      <c r="I450" s="114"/>
      <c r="J450" s="114"/>
      <c r="K450" s="313"/>
      <c r="L450" s="314"/>
      <c r="M450" s="315"/>
      <c r="N450" s="138"/>
      <c r="O450" s="26">
        <f t="shared" si="14"/>
        <v>0</v>
      </c>
      <c r="AA450" s="54"/>
      <c r="AB450" s="54"/>
      <c r="AC450" s="54"/>
      <c r="AD450" s="54"/>
      <c r="AE450" s="54"/>
      <c r="AF450" s="54"/>
    </row>
    <row r="451" spans="3:32" ht="15" hidden="1" customHeight="1" x14ac:dyDescent="0.2">
      <c r="C451" s="58" t="str">
        <f t="shared" si="15"/>
        <v/>
      </c>
      <c r="D451" s="116"/>
      <c r="E451" s="114"/>
      <c r="F451" s="114"/>
      <c r="G451" s="114"/>
      <c r="H451" s="114"/>
      <c r="I451" s="114"/>
      <c r="J451" s="114"/>
      <c r="K451" s="313"/>
      <c r="L451" s="314"/>
      <c r="M451" s="315"/>
      <c r="N451" s="138"/>
      <c r="O451" s="26">
        <f t="shared" si="14"/>
        <v>0</v>
      </c>
      <c r="AA451" s="54"/>
      <c r="AB451" s="54"/>
      <c r="AC451" s="54"/>
      <c r="AD451" s="54"/>
      <c r="AE451" s="54"/>
      <c r="AF451" s="54"/>
    </row>
    <row r="452" spans="3:32" ht="15" hidden="1" customHeight="1" x14ac:dyDescent="0.2">
      <c r="C452" s="58" t="str">
        <f t="shared" si="15"/>
        <v/>
      </c>
      <c r="D452" s="116"/>
      <c r="E452" s="114"/>
      <c r="F452" s="114"/>
      <c r="G452" s="114"/>
      <c r="H452" s="114"/>
      <c r="I452" s="114"/>
      <c r="J452" s="114"/>
      <c r="K452" s="313"/>
      <c r="L452" s="314"/>
      <c r="M452" s="315"/>
      <c r="N452" s="138"/>
      <c r="O452" s="26">
        <f t="shared" si="14"/>
        <v>0</v>
      </c>
      <c r="AA452" s="54"/>
      <c r="AB452" s="54"/>
      <c r="AC452" s="54"/>
      <c r="AD452" s="54"/>
      <c r="AE452" s="54"/>
      <c r="AF452" s="54"/>
    </row>
    <row r="453" spans="3:32" ht="15" hidden="1" customHeight="1" x14ac:dyDescent="0.2">
      <c r="C453" s="58" t="str">
        <f t="shared" si="15"/>
        <v/>
      </c>
      <c r="D453" s="116"/>
      <c r="E453" s="114"/>
      <c r="F453" s="114"/>
      <c r="G453" s="114"/>
      <c r="H453" s="114"/>
      <c r="I453" s="114"/>
      <c r="J453" s="114"/>
      <c r="K453" s="313"/>
      <c r="L453" s="314"/>
      <c r="M453" s="315"/>
      <c r="N453" s="138"/>
      <c r="O453" s="26">
        <f t="shared" si="14"/>
        <v>0</v>
      </c>
      <c r="AA453" s="54"/>
      <c r="AB453" s="54"/>
      <c r="AC453" s="54"/>
      <c r="AD453" s="54"/>
      <c r="AE453" s="54"/>
      <c r="AF453" s="54"/>
    </row>
    <row r="454" spans="3:32" ht="15" hidden="1" customHeight="1" x14ac:dyDescent="0.2">
      <c r="C454" s="58" t="str">
        <f t="shared" si="15"/>
        <v/>
      </c>
      <c r="D454" s="116"/>
      <c r="E454" s="114"/>
      <c r="F454" s="114"/>
      <c r="G454" s="114"/>
      <c r="H454" s="114"/>
      <c r="I454" s="114"/>
      <c r="J454" s="114"/>
      <c r="K454" s="313"/>
      <c r="L454" s="314"/>
      <c r="M454" s="315"/>
      <c r="N454" s="138"/>
      <c r="O454" s="26">
        <f t="shared" si="14"/>
        <v>0</v>
      </c>
      <c r="AA454" s="54"/>
      <c r="AB454" s="54"/>
      <c r="AC454" s="54"/>
      <c r="AD454" s="54"/>
      <c r="AE454" s="54"/>
      <c r="AF454" s="54"/>
    </row>
    <row r="455" spans="3:32" ht="15" hidden="1" customHeight="1" x14ac:dyDescent="0.2">
      <c r="C455" s="58" t="str">
        <f t="shared" si="15"/>
        <v/>
      </c>
      <c r="D455" s="116"/>
      <c r="E455" s="114"/>
      <c r="F455" s="114"/>
      <c r="G455" s="114"/>
      <c r="H455" s="114"/>
      <c r="I455" s="114"/>
      <c r="J455" s="114"/>
      <c r="K455" s="313"/>
      <c r="L455" s="314"/>
      <c r="M455" s="315"/>
      <c r="N455" s="138"/>
      <c r="O455" s="26">
        <f t="shared" si="14"/>
        <v>0</v>
      </c>
      <c r="AA455" s="54"/>
      <c r="AB455" s="54"/>
      <c r="AC455" s="54"/>
      <c r="AD455" s="54"/>
      <c r="AE455" s="54"/>
      <c r="AF455" s="54"/>
    </row>
    <row r="456" spans="3:32" ht="15" hidden="1" customHeight="1" x14ac:dyDescent="0.2">
      <c r="C456" s="58" t="str">
        <f t="shared" si="15"/>
        <v/>
      </c>
      <c r="D456" s="116"/>
      <c r="E456" s="114"/>
      <c r="F456" s="114"/>
      <c r="G456" s="114"/>
      <c r="H456" s="114"/>
      <c r="I456" s="114"/>
      <c r="J456" s="114"/>
      <c r="K456" s="313"/>
      <c r="L456" s="314"/>
      <c r="M456" s="315"/>
      <c r="N456" s="138"/>
      <c r="O456" s="26">
        <f t="shared" si="14"/>
        <v>0</v>
      </c>
      <c r="AA456" s="54"/>
      <c r="AB456" s="54"/>
      <c r="AC456" s="54"/>
      <c r="AD456" s="54"/>
      <c r="AE456" s="54"/>
      <c r="AF456" s="54"/>
    </row>
    <row r="457" spans="3:32" ht="15" hidden="1" customHeight="1" x14ac:dyDescent="0.2">
      <c r="C457" s="58" t="str">
        <f t="shared" si="15"/>
        <v/>
      </c>
      <c r="D457" s="116"/>
      <c r="E457" s="114"/>
      <c r="F457" s="114"/>
      <c r="G457" s="114"/>
      <c r="H457" s="114"/>
      <c r="I457" s="114"/>
      <c r="J457" s="114"/>
      <c r="K457" s="313"/>
      <c r="L457" s="314"/>
      <c r="M457" s="315"/>
      <c r="N457" s="138"/>
      <c r="O457" s="26">
        <f t="shared" si="14"/>
        <v>0</v>
      </c>
      <c r="AA457" s="54"/>
      <c r="AB457" s="54"/>
      <c r="AC457" s="54"/>
      <c r="AD457" s="54"/>
      <c r="AE457" s="54"/>
      <c r="AF457" s="54"/>
    </row>
    <row r="458" spans="3:32" ht="15" hidden="1" customHeight="1" x14ac:dyDescent="0.2">
      <c r="C458" s="58" t="str">
        <f t="shared" si="15"/>
        <v/>
      </c>
      <c r="D458" s="116"/>
      <c r="E458" s="114"/>
      <c r="F458" s="114"/>
      <c r="G458" s="114"/>
      <c r="H458" s="114"/>
      <c r="I458" s="114"/>
      <c r="J458" s="114"/>
      <c r="K458" s="313"/>
      <c r="L458" s="314"/>
      <c r="M458" s="315"/>
      <c r="N458" s="138"/>
      <c r="O458" s="26">
        <f t="shared" si="14"/>
        <v>0</v>
      </c>
      <c r="AA458" s="54"/>
      <c r="AB458" s="54"/>
      <c r="AC458" s="54"/>
      <c r="AD458" s="54"/>
      <c r="AE458" s="54"/>
      <c r="AF458" s="54"/>
    </row>
    <row r="459" spans="3:32" ht="15" hidden="1" customHeight="1" x14ac:dyDescent="0.2">
      <c r="C459" s="58" t="str">
        <f t="shared" si="15"/>
        <v/>
      </c>
      <c r="D459" s="116"/>
      <c r="E459" s="114"/>
      <c r="F459" s="114"/>
      <c r="G459" s="114"/>
      <c r="H459" s="114"/>
      <c r="I459" s="114"/>
      <c r="J459" s="114"/>
      <c r="K459" s="313"/>
      <c r="L459" s="314"/>
      <c r="M459" s="315"/>
      <c r="N459" s="138"/>
      <c r="O459" s="26">
        <f t="shared" si="14"/>
        <v>0</v>
      </c>
      <c r="AA459" s="54"/>
      <c r="AB459" s="54"/>
      <c r="AC459" s="54"/>
      <c r="AD459" s="54"/>
      <c r="AE459" s="54"/>
      <c r="AF459" s="54"/>
    </row>
    <row r="460" spans="3:32" ht="15" hidden="1" customHeight="1" x14ac:dyDescent="0.2">
      <c r="C460" s="58" t="str">
        <f t="shared" si="15"/>
        <v/>
      </c>
      <c r="D460" s="116"/>
      <c r="E460" s="114"/>
      <c r="F460" s="114"/>
      <c r="G460" s="114"/>
      <c r="H460" s="114"/>
      <c r="I460" s="114"/>
      <c r="J460" s="114"/>
      <c r="K460" s="313"/>
      <c r="L460" s="314"/>
      <c r="M460" s="315"/>
      <c r="N460" s="138"/>
      <c r="O460" s="26">
        <f t="shared" si="14"/>
        <v>0</v>
      </c>
      <c r="AA460" s="54"/>
      <c r="AB460" s="54"/>
      <c r="AC460" s="54"/>
      <c r="AD460" s="54"/>
      <c r="AE460" s="54"/>
      <c r="AF460" s="54"/>
    </row>
    <row r="461" spans="3:32" ht="15" hidden="1" customHeight="1" x14ac:dyDescent="0.2">
      <c r="C461" s="58" t="str">
        <f t="shared" si="15"/>
        <v/>
      </c>
      <c r="D461" s="116"/>
      <c r="E461" s="114"/>
      <c r="F461" s="114"/>
      <c r="G461" s="114"/>
      <c r="H461" s="114"/>
      <c r="I461" s="114"/>
      <c r="J461" s="114"/>
      <c r="K461" s="313"/>
      <c r="L461" s="314"/>
      <c r="M461" s="315"/>
      <c r="N461" s="138"/>
      <c r="O461" s="26">
        <f t="shared" si="14"/>
        <v>0</v>
      </c>
      <c r="AA461" s="54"/>
      <c r="AB461" s="54"/>
      <c r="AC461" s="54"/>
      <c r="AD461" s="54"/>
      <c r="AE461" s="54"/>
      <c r="AF461" s="54"/>
    </row>
    <row r="462" spans="3:32" ht="15" hidden="1" customHeight="1" x14ac:dyDescent="0.2">
      <c r="C462" s="58" t="str">
        <f t="shared" si="15"/>
        <v/>
      </c>
      <c r="D462" s="116"/>
      <c r="E462" s="114"/>
      <c r="F462" s="114"/>
      <c r="G462" s="114"/>
      <c r="H462" s="114"/>
      <c r="I462" s="114"/>
      <c r="J462" s="114"/>
      <c r="K462" s="313"/>
      <c r="L462" s="314"/>
      <c r="M462" s="315"/>
      <c r="N462" s="138"/>
      <c r="O462" s="26">
        <f t="shared" si="14"/>
        <v>0</v>
      </c>
      <c r="AA462" s="54"/>
      <c r="AB462" s="54"/>
      <c r="AC462" s="54"/>
      <c r="AD462" s="54"/>
      <c r="AE462" s="54"/>
      <c r="AF462" s="54"/>
    </row>
    <row r="463" spans="3:32" ht="15" hidden="1" customHeight="1" x14ac:dyDescent="0.2">
      <c r="C463" s="58" t="str">
        <f t="shared" si="15"/>
        <v/>
      </c>
      <c r="D463" s="116"/>
      <c r="E463" s="114"/>
      <c r="F463" s="114"/>
      <c r="G463" s="114"/>
      <c r="H463" s="114"/>
      <c r="I463" s="114"/>
      <c r="J463" s="114"/>
      <c r="K463" s="313"/>
      <c r="L463" s="314"/>
      <c r="M463" s="315"/>
      <c r="N463" s="138"/>
      <c r="O463" s="26">
        <f t="shared" si="14"/>
        <v>0</v>
      </c>
      <c r="AA463" s="54"/>
      <c r="AB463" s="54"/>
      <c r="AC463" s="54"/>
      <c r="AD463" s="54"/>
      <c r="AE463" s="54"/>
      <c r="AF463" s="54"/>
    </row>
    <row r="464" spans="3:32" ht="15" hidden="1" customHeight="1" x14ac:dyDescent="0.2">
      <c r="C464" s="58" t="str">
        <f t="shared" si="15"/>
        <v/>
      </c>
      <c r="D464" s="116"/>
      <c r="E464" s="114"/>
      <c r="F464" s="114"/>
      <c r="G464" s="114"/>
      <c r="H464" s="114"/>
      <c r="I464" s="114"/>
      <c r="J464" s="114"/>
      <c r="K464" s="313"/>
      <c r="L464" s="314"/>
      <c r="M464" s="315"/>
      <c r="N464" s="138"/>
      <c r="O464" s="26">
        <f t="shared" si="14"/>
        <v>0</v>
      </c>
      <c r="AA464" s="54"/>
      <c r="AB464" s="54"/>
      <c r="AC464" s="54"/>
      <c r="AD464" s="54"/>
      <c r="AE464" s="54"/>
      <c r="AF464" s="54"/>
    </row>
    <row r="465" spans="3:32" ht="15" hidden="1" customHeight="1" x14ac:dyDescent="0.2">
      <c r="C465" s="58" t="str">
        <f t="shared" si="15"/>
        <v/>
      </c>
      <c r="D465" s="116"/>
      <c r="E465" s="114"/>
      <c r="F465" s="114"/>
      <c r="G465" s="114"/>
      <c r="H465" s="114"/>
      <c r="I465" s="114"/>
      <c r="J465" s="114"/>
      <c r="K465" s="313"/>
      <c r="L465" s="314"/>
      <c r="M465" s="315"/>
      <c r="N465" s="138"/>
      <c r="O465" s="26">
        <f t="shared" si="14"/>
        <v>0</v>
      </c>
      <c r="AA465" s="54"/>
      <c r="AB465" s="54"/>
      <c r="AC465" s="54"/>
      <c r="AD465" s="54"/>
      <c r="AE465" s="54"/>
      <c r="AF465" s="54"/>
    </row>
    <row r="466" spans="3:32" ht="15" hidden="1" customHeight="1" x14ac:dyDescent="0.2">
      <c r="C466" s="58" t="str">
        <f t="shared" si="15"/>
        <v/>
      </c>
      <c r="D466" s="116"/>
      <c r="E466" s="114"/>
      <c r="F466" s="114"/>
      <c r="G466" s="114"/>
      <c r="H466" s="114"/>
      <c r="I466" s="114"/>
      <c r="J466" s="114"/>
      <c r="K466" s="313"/>
      <c r="L466" s="314"/>
      <c r="M466" s="315"/>
      <c r="N466" s="138"/>
      <c r="O466" s="26">
        <f t="shared" si="14"/>
        <v>0</v>
      </c>
      <c r="AA466" s="54"/>
      <c r="AB466" s="54"/>
      <c r="AC466" s="54"/>
      <c r="AD466" s="54"/>
      <c r="AE466" s="54"/>
      <c r="AF466" s="54"/>
    </row>
    <row r="467" spans="3:32" ht="15" hidden="1" customHeight="1" x14ac:dyDescent="0.2">
      <c r="C467" s="58" t="str">
        <f t="shared" si="15"/>
        <v/>
      </c>
      <c r="D467" s="116"/>
      <c r="E467" s="114"/>
      <c r="F467" s="114"/>
      <c r="G467" s="114"/>
      <c r="H467" s="114"/>
      <c r="I467" s="114"/>
      <c r="J467" s="114"/>
      <c r="K467" s="313"/>
      <c r="L467" s="314"/>
      <c r="M467" s="315"/>
      <c r="N467" s="138"/>
      <c r="O467" s="26">
        <f t="shared" si="14"/>
        <v>0</v>
      </c>
      <c r="AA467" s="54"/>
      <c r="AB467" s="54"/>
      <c r="AC467" s="54"/>
      <c r="AD467" s="54"/>
      <c r="AE467" s="54"/>
      <c r="AF467" s="54"/>
    </row>
    <row r="468" spans="3:32" ht="15" hidden="1" customHeight="1" x14ac:dyDescent="0.2">
      <c r="C468" s="58" t="str">
        <f t="shared" si="15"/>
        <v/>
      </c>
      <c r="D468" s="116"/>
      <c r="E468" s="114"/>
      <c r="F468" s="114"/>
      <c r="G468" s="114"/>
      <c r="H468" s="114"/>
      <c r="I468" s="114"/>
      <c r="J468" s="114"/>
      <c r="K468" s="313"/>
      <c r="L468" s="314"/>
      <c r="M468" s="315"/>
      <c r="N468" s="138"/>
      <c r="O468" s="26">
        <f t="shared" si="14"/>
        <v>0</v>
      </c>
      <c r="AA468" s="54"/>
      <c r="AB468" s="54"/>
      <c r="AC468" s="54"/>
      <c r="AD468" s="54"/>
      <c r="AE468" s="54"/>
      <c r="AF468" s="54"/>
    </row>
    <row r="469" spans="3:32" ht="15" hidden="1" customHeight="1" x14ac:dyDescent="0.2">
      <c r="C469" s="58" t="str">
        <f t="shared" si="15"/>
        <v/>
      </c>
      <c r="D469" s="116"/>
      <c r="E469" s="114"/>
      <c r="F469" s="114"/>
      <c r="G469" s="114"/>
      <c r="H469" s="114"/>
      <c r="I469" s="114"/>
      <c r="J469" s="114"/>
      <c r="K469" s="313"/>
      <c r="L469" s="314"/>
      <c r="M469" s="315"/>
      <c r="N469" s="138"/>
      <c r="O469" s="26">
        <f t="shared" si="14"/>
        <v>0</v>
      </c>
      <c r="AA469" s="54"/>
      <c r="AB469" s="54"/>
      <c r="AC469" s="54"/>
      <c r="AD469" s="54"/>
      <c r="AE469" s="54"/>
      <c r="AF469" s="54"/>
    </row>
    <row r="470" spans="3:32" ht="15" hidden="1" customHeight="1" x14ac:dyDescent="0.2">
      <c r="C470" s="58" t="str">
        <f t="shared" si="15"/>
        <v/>
      </c>
      <c r="D470" s="116"/>
      <c r="E470" s="114"/>
      <c r="F470" s="114"/>
      <c r="G470" s="114"/>
      <c r="H470" s="114"/>
      <c r="I470" s="114"/>
      <c r="J470" s="114"/>
      <c r="K470" s="313"/>
      <c r="L470" s="314"/>
      <c r="M470" s="315"/>
      <c r="N470" s="138"/>
      <c r="O470" s="26">
        <f t="shared" si="14"/>
        <v>0</v>
      </c>
      <c r="AA470" s="54"/>
      <c r="AB470" s="54"/>
      <c r="AC470" s="54"/>
      <c r="AD470" s="54"/>
      <c r="AE470" s="54"/>
      <c r="AF470" s="54"/>
    </row>
    <row r="471" spans="3:32" ht="15" hidden="1" customHeight="1" x14ac:dyDescent="0.2">
      <c r="C471" s="58" t="str">
        <f t="shared" si="15"/>
        <v/>
      </c>
      <c r="D471" s="116"/>
      <c r="E471" s="114"/>
      <c r="F471" s="114"/>
      <c r="G471" s="114"/>
      <c r="H471" s="114"/>
      <c r="I471" s="114"/>
      <c r="J471" s="114"/>
      <c r="K471" s="313"/>
      <c r="L471" s="314"/>
      <c r="M471" s="315"/>
      <c r="N471" s="138"/>
      <c r="O471" s="26">
        <f t="shared" si="14"/>
        <v>0</v>
      </c>
      <c r="AA471" s="54"/>
      <c r="AB471" s="54"/>
      <c r="AC471" s="54"/>
      <c r="AD471" s="54"/>
      <c r="AE471" s="54"/>
      <c r="AF471" s="54"/>
    </row>
    <row r="472" spans="3:32" ht="15" hidden="1" customHeight="1" x14ac:dyDescent="0.2">
      <c r="C472" s="58" t="str">
        <f t="shared" si="15"/>
        <v/>
      </c>
      <c r="D472" s="116"/>
      <c r="E472" s="114"/>
      <c r="F472" s="114"/>
      <c r="G472" s="114"/>
      <c r="H472" s="114"/>
      <c r="I472" s="114"/>
      <c r="J472" s="114"/>
      <c r="K472" s="313"/>
      <c r="L472" s="314"/>
      <c r="M472" s="315"/>
      <c r="N472" s="138"/>
      <c r="O472" s="26">
        <f t="shared" si="14"/>
        <v>0</v>
      </c>
      <c r="AA472" s="54"/>
      <c r="AB472" s="54"/>
      <c r="AC472" s="54"/>
      <c r="AD472" s="54"/>
      <c r="AE472" s="54"/>
      <c r="AF472" s="54"/>
    </row>
    <row r="473" spans="3:32" ht="15" hidden="1" customHeight="1" x14ac:dyDescent="0.2">
      <c r="C473" s="58" t="str">
        <f t="shared" si="15"/>
        <v/>
      </c>
      <c r="D473" s="116"/>
      <c r="E473" s="114"/>
      <c r="F473" s="114"/>
      <c r="G473" s="114"/>
      <c r="H473" s="114"/>
      <c r="I473" s="114"/>
      <c r="J473" s="114"/>
      <c r="K473" s="313"/>
      <c r="L473" s="314"/>
      <c r="M473" s="315"/>
      <c r="N473" s="138"/>
      <c r="O473" s="26">
        <f t="shared" si="14"/>
        <v>0</v>
      </c>
      <c r="AA473" s="54"/>
      <c r="AB473" s="54"/>
      <c r="AC473" s="54"/>
      <c r="AD473" s="54"/>
      <c r="AE473" s="54"/>
      <c r="AF473" s="54"/>
    </row>
    <row r="474" spans="3:32" ht="15" hidden="1" customHeight="1" x14ac:dyDescent="0.2">
      <c r="C474" s="58" t="str">
        <f t="shared" si="15"/>
        <v/>
      </c>
      <c r="D474" s="116"/>
      <c r="E474" s="114"/>
      <c r="F474" s="114"/>
      <c r="G474" s="114"/>
      <c r="H474" s="114"/>
      <c r="I474" s="114"/>
      <c r="J474" s="114"/>
      <c r="K474" s="313"/>
      <c r="L474" s="314"/>
      <c r="M474" s="315"/>
      <c r="N474" s="138"/>
      <c r="O474" s="26">
        <f t="shared" si="14"/>
        <v>0</v>
      </c>
      <c r="AA474" s="54"/>
      <c r="AB474" s="54"/>
      <c r="AC474" s="54"/>
      <c r="AD474" s="54"/>
      <c r="AE474" s="54"/>
      <c r="AF474" s="54"/>
    </row>
    <row r="475" spans="3:32" ht="15" hidden="1" customHeight="1" x14ac:dyDescent="0.2">
      <c r="C475" s="58" t="str">
        <f t="shared" si="15"/>
        <v/>
      </c>
      <c r="D475" s="116"/>
      <c r="E475" s="114"/>
      <c r="F475" s="114"/>
      <c r="G475" s="114"/>
      <c r="H475" s="114"/>
      <c r="I475" s="114"/>
      <c r="J475" s="114"/>
      <c r="K475" s="313"/>
      <c r="L475" s="314"/>
      <c r="M475" s="315"/>
      <c r="N475" s="138"/>
      <c r="O475" s="26">
        <f t="shared" si="14"/>
        <v>0</v>
      </c>
      <c r="AA475" s="54"/>
      <c r="AB475" s="54"/>
      <c r="AC475" s="54"/>
      <c r="AD475" s="54"/>
      <c r="AE475" s="54"/>
      <c r="AF475" s="54"/>
    </row>
    <row r="476" spans="3:32" ht="15" hidden="1" customHeight="1" x14ac:dyDescent="0.2">
      <c r="C476" s="58" t="str">
        <f t="shared" si="15"/>
        <v/>
      </c>
      <c r="D476" s="116"/>
      <c r="E476" s="114"/>
      <c r="F476" s="114"/>
      <c r="G476" s="114"/>
      <c r="H476" s="114"/>
      <c r="I476" s="114"/>
      <c r="J476" s="114"/>
      <c r="K476" s="313"/>
      <c r="L476" s="314"/>
      <c r="M476" s="315"/>
      <c r="N476" s="138"/>
      <c r="O476" s="26">
        <f t="shared" si="14"/>
        <v>0</v>
      </c>
      <c r="AA476" s="54"/>
      <c r="AB476" s="54"/>
      <c r="AC476" s="54"/>
      <c r="AD476" s="54"/>
      <c r="AE476" s="54"/>
      <c r="AF476" s="54"/>
    </row>
    <row r="477" spans="3:32" ht="15" hidden="1" customHeight="1" x14ac:dyDescent="0.2">
      <c r="C477" s="58" t="str">
        <f t="shared" si="15"/>
        <v/>
      </c>
      <c r="D477" s="116"/>
      <c r="E477" s="114"/>
      <c r="F477" s="114"/>
      <c r="G477" s="114"/>
      <c r="H477" s="114"/>
      <c r="I477" s="114"/>
      <c r="J477" s="114"/>
      <c r="K477" s="313"/>
      <c r="L477" s="314"/>
      <c r="M477" s="315"/>
      <c r="N477" s="138"/>
      <c r="O477" s="26">
        <f t="shared" si="14"/>
        <v>0</v>
      </c>
      <c r="AA477" s="54"/>
      <c r="AB477" s="54"/>
      <c r="AC477" s="54"/>
      <c r="AD477" s="54"/>
      <c r="AE477" s="54"/>
      <c r="AF477" s="54"/>
    </row>
    <row r="478" spans="3:32" ht="15" hidden="1" customHeight="1" x14ac:dyDescent="0.2">
      <c r="C478" s="58" t="str">
        <f t="shared" si="15"/>
        <v/>
      </c>
      <c r="D478" s="116"/>
      <c r="E478" s="114"/>
      <c r="F478" s="114"/>
      <c r="G478" s="114"/>
      <c r="H478" s="114"/>
      <c r="I478" s="114"/>
      <c r="J478" s="114"/>
      <c r="K478" s="313"/>
      <c r="L478" s="314"/>
      <c r="M478" s="315"/>
      <c r="N478" s="138"/>
      <c r="O478" s="26">
        <f t="shared" si="14"/>
        <v>0</v>
      </c>
      <c r="AA478" s="54"/>
      <c r="AB478" s="54"/>
      <c r="AC478" s="54"/>
      <c r="AD478" s="54"/>
      <c r="AE478" s="54"/>
      <c r="AF478" s="54"/>
    </row>
    <row r="479" spans="3:32" ht="15" hidden="1" customHeight="1" x14ac:dyDescent="0.2">
      <c r="C479" s="58" t="str">
        <f t="shared" si="15"/>
        <v/>
      </c>
      <c r="D479" s="116"/>
      <c r="E479" s="114"/>
      <c r="F479" s="114"/>
      <c r="G479" s="114"/>
      <c r="H479" s="114"/>
      <c r="I479" s="114"/>
      <c r="J479" s="114"/>
      <c r="K479" s="313"/>
      <c r="L479" s="314"/>
      <c r="M479" s="315"/>
      <c r="N479" s="138"/>
      <c r="O479" s="26">
        <f t="shared" si="14"/>
        <v>0</v>
      </c>
      <c r="AA479" s="54"/>
      <c r="AB479" s="54"/>
      <c r="AC479" s="54"/>
      <c r="AD479" s="54"/>
      <c r="AE479" s="54"/>
      <c r="AF479" s="54"/>
    </row>
    <row r="480" spans="3:32" ht="15" hidden="1" customHeight="1" x14ac:dyDescent="0.2">
      <c r="C480" s="58" t="str">
        <f t="shared" si="15"/>
        <v/>
      </c>
      <c r="D480" s="116"/>
      <c r="E480" s="114"/>
      <c r="F480" s="114"/>
      <c r="G480" s="114"/>
      <c r="H480" s="114"/>
      <c r="I480" s="114"/>
      <c r="J480" s="114"/>
      <c r="K480" s="313"/>
      <c r="L480" s="314"/>
      <c r="M480" s="315"/>
      <c r="N480" s="138"/>
      <c r="O480" s="26">
        <f t="shared" si="14"/>
        <v>0</v>
      </c>
      <c r="AA480" s="54"/>
      <c r="AB480" s="54"/>
      <c r="AC480" s="54"/>
      <c r="AD480" s="54"/>
      <c r="AE480" s="54"/>
      <c r="AF480" s="54"/>
    </row>
    <row r="481" spans="1:32" ht="15" hidden="1" customHeight="1" x14ac:dyDescent="0.2">
      <c r="A481" s="28" t="s">
        <v>159</v>
      </c>
      <c r="C481" s="285"/>
      <c r="D481" s="285"/>
      <c r="E481" s="285"/>
      <c r="F481" s="285"/>
      <c r="G481" s="285"/>
      <c r="H481" s="285"/>
      <c r="I481" s="285"/>
      <c r="J481" s="285"/>
      <c r="K481" s="285"/>
      <c r="L481" s="285"/>
      <c r="M481" s="285"/>
      <c r="N481" s="138"/>
      <c r="AA481" s="54"/>
      <c r="AB481" s="54"/>
      <c r="AC481" s="54"/>
      <c r="AD481" s="54"/>
      <c r="AE481" s="54"/>
      <c r="AF481" s="54"/>
    </row>
    <row r="482" spans="1:32" ht="15" hidden="1" customHeight="1" x14ac:dyDescent="0.2">
      <c r="A482" s="28" t="s">
        <v>282</v>
      </c>
      <c r="C482" s="20" t="s">
        <v>125</v>
      </c>
      <c r="D482" s="286"/>
      <c r="E482" s="287"/>
      <c r="F482" s="287"/>
      <c r="G482" s="287"/>
      <c r="H482" s="287"/>
      <c r="I482" s="287"/>
      <c r="J482" s="287"/>
      <c r="K482" s="287"/>
      <c r="L482" s="287"/>
      <c r="M482" s="288"/>
      <c r="N482" s="138"/>
      <c r="AA482" s="54"/>
      <c r="AB482" s="54"/>
      <c r="AC482" s="54"/>
      <c r="AD482" s="54"/>
      <c r="AE482" s="54"/>
      <c r="AF482" s="54"/>
    </row>
    <row r="483" spans="1:32" ht="15" hidden="1" customHeight="1" x14ac:dyDescent="0.2">
      <c r="C483" s="295"/>
      <c r="D483" s="289"/>
      <c r="E483" s="290"/>
      <c r="F483" s="290"/>
      <c r="G483" s="290"/>
      <c r="H483" s="290"/>
      <c r="I483" s="290"/>
      <c r="J483" s="290"/>
      <c r="K483" s="290"/>
      <c r="L483" s="290"/>
      <c r="M483" s="291"/>
      <c r="N483" s="138"/>
      <c r="AA483" s="54"/>
      <c r="AB483" s="54"/>
      <c r="AC483" s="54"/>
      <c r="AD483" s="54"/>
      <c r="AE483" s="54"/>
      <c r="AF483" s="54"/>
    </row>
    <row r="484" spans="1:32" ht="15" hidden="1" customHeight="1" x14ac:dyDescent="0.2">
      <c r="A484" s="28" t="s">
        <v>298</v>
      </c>
      <c r="C484" s="295"/>
      <c r="D484" s="289"/>
      <c r="E484" s="290"/>
      <c r="F484" s="290"/>
      <c r="G484" s="290"/>
      <c r="H484" s="290"/>
      <c r="I484" s="290"/>
      <c r="J484" s="290"/>
      <c r="K484" s="290"/>
      <c r="L484" s="290"/>
      <c r="M484" s="291"/>
      <c r="N484" s="138"/>
      <c r="AA484" s="54"/>
      <c r="AB484" s="54"/>
      <c r="AC484" s="54"/>
      <c r="AD484" s="54"/>
      <c r="AE484" s="54"/>
      <c r="AF484" s="54"/>
    </row>
    <row r="485" spans="1:32" ht="15" hidden="1" customHeight="1" x14ac:dyDescent="0.2">
      <c r="A485" s="28" t="s">
        <v>46</v>
      </c>
      <c r="C485" s="295"/>
      <c r="D485" s="289"/>
      <c r="E485" s="290"/>
      <c r="F485" s="290"/>
      <c r="G485" s="290"/>
      <c r="H485" s="290"/>
      <c r="I485" s="290"/>
      <c r="J485" s="290"/>
      <c r="K485" s="290"/>
      <c r="L485" s="290"/>
      <c r="M485" s="291"/>
      <c r="N485" s="138"/>
      <c r="AA485" s="54"/>
      <c r="AB485" s="54"/>
      <c r="AC485" s="54"/>
      <c r="AD485" s="54"/>
      <c r="AE485" s="54"/>
      <c r="AF485" s="54"/>
    </row>
    <row r="486" spans="1:32" ht="15" hidden="1" customHeight="1" x14ac:dyDescent="0.2">
      <c r="C486" s="295"/>
      <c r="D486" s="292"/>
      <c r="E486" s="293"/>
      <c r="F486" s="293"/>
      <c r="G486" s="293"/>
      <c r="H486" s="293"/>
      <c r="I486" s="293"/>
      <c r="J486" s="293"/>
      <c r="K486" s="293"/>
      <c r="L486" s="293"/>
      <c r="M486" s="294"/>
      <c r="N486" s="138"/>
      <c r="AA486" s="54"/>
      <c r="AB486" s="54"/>
      <c r="AC486" s="54"/>
      <c r="AD486" s="54"/>
      <c r="AE486" s="54"/>
      <c r="AF486" s="54"/>
    </row>
    <row r="487" spans="1:32" ht="15" hidden="1" customHeight="1" thickBot="1" x14ac:dyDescent="0.25">
      <c r="C487" s="296"/>
      <c r="D487" s="296"/>
      <c r="E487" s="296"/>
      <c r="F487" s="296"/>
      <c r="G487" s="296"/>
      <c r="H487" s="296"/>
      <c r="I487" s="296"/>
      <c r="J487" s="296"/>
      <c r="K487" s="296"/>
      <c r="L487" s="296"/>
      <c r="M487" s="296"/>
      <c r="N487" s="138"/>
      <c r="AA487" s="54"/>
      <c r="AB487" s="54"/>
      <c r="AC487" s="54"/>
      <c r="AD487" s="54"/>
      <c r="AE487" s="54"/>
      <c r="AF487" s="54"/>
    </row>
    <row r="488" spans="1:32" ht="15" hidden="1" customHeight="1" thickBot="1" x14ac:dyDescent="0.25">
      <c r="C488" s="332"/>
      <c r="D488" s="332"/>
      <c r="E488" s="332"/>
      <c r="F488" s="332"/>
      <c r="G488" s="332"/>
      <c r="H488" s="332"/>
      <c r="I488" s="332"/>
      <c r="J488" s="332"/>
      <c r="K488" s="332"/>
      <c r="L488" s="332"/>
      <c r="M488" s="332"/>
      <c r="N488" s="138"/>
      <c r="AA488" s="54"/>
      <c r="AB488" s="54"/>
      <c r="AC488" s="54"/>
      <c r="AD488" s="54"/>
      <c r="AE488" s="54"/>
      <c r="AF488" s="54"/>
    </row>
    <row r="489" spans="1:32" ht="15" customHeight="1" thickBot="1" x14ac:dyDescent="0.25">
      <c r="A489" s="134" t="b">
        <v>0</v>
      </c>
      <c r="C489" s="304" t="s">
        <v>318</v>
      </c>
      <c r="D489" s="304"/>
      <c r="E489" s="304"/>
      <c r="F489" s="243"/>
      <c r="G489" s="243"/>
      <c r="H489" s="243"/>
      <c r="I489" s="243"/>
      <c r="J489" s="243"/>
      <c r="K489" s="243"/>
      <c r="L489" s="243"/>
      <c r="M489" s="243"/>
      <c r="N489" s="138"/>
      <c r="O489" s="26">
        <f>SUM(O493:O518)</f>
        <v>0</v>
      </c>
      <c r="AA489" s="54"/>
      <c r="AB489" s="54">
        <f>ROW()</f>
        <v>489</v>
      </c>
      <c r="AC489" s="54">
        <v>5</v>
      </c>
      <c r="AD489" s="54">
        <f>AB489+43</f>
        <v>532</v>
      </c>
      <c r="AE489" s="54">
        <f>AB489+1</f>
        <v>490</v>
      </c>
      <c r="AF489" s="54">
        <f>AB489+50</f>
        <v>539</v>
      </c>
    </row>
    <row r="490" spans="1:32" ht="15" hidden="1" customHeight="1" x14ac:dyDescent="0.2">
      <c r="A490" s="28" t="s">
        <v>317</v>
      </c>
      <c r="C490" s="316" t="s">
        <v>309</v>
      </c>
      <c r="D490" s="316"/>
      <c r="E490" s="316"/>
      <c r="F490" s="115" t="s">
        <v>147</v>
      </c>
      <c r="G490" s="317"/>
      <c r="H490" s="317"/>
      <c r="I490" s="317"/>
      <c r="J490" s="317"/>
      <c r="K490" s="317"/>
      <c r="L490" s="317" t="s">
        <v>275</v>
      </c>
      <c r="M490" s="317"/>
      <c r="N490" s="136" t="str">
        <f>IF(COUNTA(D493:D532,D534)=0,"XXX","")</f>
        <v>XXX</v>
      </c>
      <c r="AA490" s="54"/>
      <c r="AB490" s="54"/>
      <c r="AC490" s="54"/>
      <c r="AD490" s="54"/>
      <c r="AE490" s="54"/>
      <c r="AF490" s="54"/>
    </row>
    <row r="491" spans="1:32" ht="15" hidden="1" customHeight="1" x14ac:dyDescent="0.2">
      <c r="A491" s="28" t="s">
        <v>324</v>
      </c>
      <c r="C491" s="163" t="s">
        <v>161</v>
      </c>
      <c r="D491" s="163" t="s">
        <v>310</v>
      </c>
      <c r="E491" s="163" t="s">
        <v>99</v>
      </c>
      <c r="F491" s="163" t="s">
        <v>176</v>
      </c>
      <c r="G491" s="163" t="s">
        <v>326</v>
      </c>
      <c r="H491" s="163" t="s">
        <v>311</v>
      </c>
      <c r="I491" s="163" t="s">
        <v>299</v>
      </c>
      <c r="J491" s="163" t="s">
        <v>322</v>
      </c>
      <c r="K491" s="210" t="s">
        <v>45</v>
      </c>
      <c r="L491" s="210"/>
      <c r="M491" s="259"/>
      <c r="N491" s="138"/>
      <c r="AA491" s="54"/>
      <c r="AB491" s="54"/>
      <c r="AC491" s="54"/>
      <c r="AD491" s="54"/>
      <c r="AE491" s="54"/>
      <c r="AF491" s="54"/>
    </row>
    <row r="492" spans="1:32" ht="15" hidden="1" customHeight="1" x14ac:dyDescent="0.2">
      <c r="A492" s="28" t="s">
        <v>325</v>
      </c>
      <c r="C492" s="164"/>
      <c r="D492" s="164"/>
      <c r="E492" s="164"/>
      <c r="F492" s="164"/>
      <c r="G492" s="164"/>
      <c r="H492" s="164"/>
      <c r="I492" s="164"/>
      <c r="J492" s="164"/>
      <c r="K492" s="212"/>
      <c r="L492" s="212"/>
      <c r="M492" s="260"/>
      <c r="N492" s="138"/>
      <c r="AA492" s="54"/>
      <c r="AB492" s="54"/>
      <c r="AC492" s="54"/>
      <c r="AD492" s="54"/>
      <c r="AE492" s="54"/>
      <c r="AF492" s="54"/>
    </row>
    <row r="493" spans="1:32" ht="15" hidden="1" customHeight="1" x14ac:dyDescent="0.2">
      <c r="A493" s="28" t="s">
        <v>316</v>
      </c>
      <c r="C493" s="58" t="str">
        <f>IF(O493&gt;0,1,"")</f>
        <v/>
      </c>
      <c r="D493" s="113"/>
      <c r="E493" s="114"/>
      <c r="F493" s="114"/>
      <c r="G493" s="114"/>
      <c r="H493" s="114"/>
      <c r="I493" s="114"/>
      <c r="J493" s="114"/>
      <c r="K493" s="314"/>
      <c r="L493" s="314"/>
      <c r="M493" s="315"/>
      <c r="N493" s="138"/>
      <c r="O493" s="26">
        <f t="shared" ref="O493:O532" si="16">IF(COUNTA(D493:M493)=0,0,1)</f>
        <v>0</v>
      </c>
      <c r="AA493" s="54"/>
      <c r="AB493" s="54"/>
      <c r="AC493" s="54"/>
      <c r="AD493" s="54"/>
      <c r="AE493" s="54"/>
      <c r="AF493" s="54"/>
    </row>
    <row r="494" spans="1:32" ht="15" hidden="1" customHeight="1" x14ac:dyDescent="0.2">
      <c r="C494" s="58" t="str">
        <f t="shared" ref="C494:C532" si="17">IF(O494&gt;0,1+C493,"")</f>
        <v/>
      </c>
      <c r="D494" s="113"/>
      <c r="E494" s="114"/>
      <c r="F494" s="114"/>
      <c r="G494" s="114"/>
      <c r="H494" s="114"/>
      <c r="I494" s="114"/>
      <c r="J494" s="114"/>
      <c r="K494" s="314"/>
      <c r="L494" s="314"/>
      <c r="M494" s="315"/>
      <c r="N494" s="138"/>
      <c r="O494" s="26">
        <f t="shared" si="16"/>
        <v>0</v>
      </c>
      <c r="AA494" s="54"/>
      <c r="AB494" s="54"/>
      <c r="AC494" s="54"/>
      <c r="AD494" s="54"/>
      <c r="AE494" s="54"/>
      <c r="AF494" s="54"/>
    </row>
    <row r="495" spans="1:32" ht="15" hidden="1" customHeight="1" x14ac:dyDescent="0.2">
      <c r="A495" s="28" t="s">
        <v>298</v>
      </c>
      <c r="C495" s="58" t="str">
        <f t="shared" si="17"/>
        <v/>
      </c>
      <c r="D495" s="113"/>
      <c r="E495" s="114"/>
      <c r="F495" s="114"/>
      <c r="G495" s="114"/>
      <c r="H495" s="114"/>
      <c r="I495" s="114"/>
      <c r="J495" s="114"/>
      <c r="K495" s="314"/>
      <c r="L495" s="314"/>
      <c r="M495" s="315"/>
      <c r="N495" s="138"/>
      <c r="O495" s="26">
        <f t="shared" si="16"/>
        <v>0</v>
      </c>
      <c r="AA495" s="54"/>
      <c r="AB495" s="54"/>
      <c r="AC495" s="54"/>
      <c r="AD495" s="54"/>
      <c r="AE495" s="54"/>
      <c r="AF495" s="54"/>
    </row>
    <row r="496" spans="1:32" ht="15" hidden="1" customHeight="1" x14ac:dyDescent="0.2">
      <c r="A496" s="28" t="s">
        <v>46</v>
      </c>
      <c r="C496" s="58" t="str">
        <f t="shared" si="17"/>
        <v/>
      </c>
      <c r="D496" s="113"/>
      <c r="E496" s="114"/>
      <c r="F496" s="114"/>
      <c r="G496" s="114"/>
      <c r="H496" s="114"/>
      <c r="I496" s="114"/>
      <c r="J496" s="114"/>
      <c r="K496" s="314"/>
      <c r="L496" s="314"/>
      <c r="M496" s="315"/>
      <c r="N496" s="138"/>
      <c r="O496" s="26">
        <f t="shared" si="16"/>
        <v>0</v>
      </c>
      <c r="AA496" s="54"/>
      <c r="AB496" s="54"/>
      <c r="AC496" s="54"/>
      <c r="AD496" s="54"/>
      <c r="AE496" s="54"/>
      <c r="AF496" s="54"/>
    </row>
    <row r="497" spans="1:32" ht="15" hidden="1" customHeight="1" x14ac:dyDescent="0.2">
      <c r="C497" s="58" t="str">
        <f t="shared" si="17"/>
        <v/>
      </c>
      <c r="D497" s="113"/>
      <c r="E497" s="114"/>
      <c r="F497" s="114"/>
      <c r="G497" s="114"/>
      <c r="H497" s="114"/>
      <c r="I497" s="114"/>
      <c r="J497" s="114"/>
      <c r="K497" s="314"/>
      <c r="L497" s="314"/>
      <c r="M497" s="315"/>
      <c r="N497" s="138"/>
      <c r="O497" s="26">
        <f t="shared" si="16"/>
        <v>0</v>
      </c>
      <c r="AA497" s="54"/>
      <c r="AB497" s="54"/>
      <c r="AC497" s="54"/>
      <c r="AD497" s="54"/>
      <c r="AE497" s="54"/>
      <c r="AF497" s="54"/>
    </row>
    <row r="498" spans="1:32" ht="15" hidden="1" customHeight="1" x14ac:dyDescent="0.2">
      <c r="A498" s="28" t="s">
        <v>307</v>
      </c>
      <c r="C498" s="58" t="str">
        <f t="shared" si="17"/>
        <v/>
      </c>
      <c r="D498" s="113"/>
      <c r="E498" s="114"/>
      <c r="F498" s="114"/>
      <c r="G498" s="114"/>
      <c r="H498" s="114"/>
      <c r="I498" s="114"/>
      <c r="J498" s="114"/>
      <c r="K498" s="314"/>
      <c r="L498" s="314"/>
      <c r="M498" s="315"/>
      <c r="N498" s="138"/>
      <c r="O498" s="26">
        <f t="shared" si="16"/>
        <v>0</v>
      </c>
      <c r="AA498" s="54"/>
      <c r="AB498" s="54"/>
      <c r="AC498" s="54"/>
      <c r="AD498" s="54"/>
      <c r="AE498" s="54"/>
      <c r="AF498" s="54"/>
    </row>
    <row r="499" spans="1:32" ht="15" hidden="1" customHeight="1" x14ac:dyDescent="0.2">
      <c r="A499" s="28" t="s">
        <v>308</v>
      </c>
      <c r="C499" s="58" t="str">
        <f t="shared" si="17"/>
        <v/>
      </c>
      <c r="D499" s="113"/>
      <c r="E499" s="114"/>
      <c r="F499" s="114"/>
      <c r="G499" s="114"/>
      <c r="H499" s="114"/>
      <c r="I499" s="114"/>
      <c r="J499" s="114"/>
      <c r="K499" s="314"/>
      <c r="L499" s="314"/>
      <c r="M499" s="315"/>
      <c r="N499" s="138"/>
      <c r="O499" s="26">
        <f t="shared" si="16"/>
        <v>0</v>
      </c>
      <c r="AA499" s="54"/>
      <c r="AB499" s="54"/>
      <c r="AC499" s="54"/>
      <c r="AD499" s="54"/>
      <c r="AE499" s="54"/>
      <c r="AF499" s="54"/>
    </row>
    <row r="500" spans="1:32" ht="15" hidden="1" customHeight="1" x14ac:dyDescent="0.2">
      <c r="C500" s="58" t="str">
        <f t="shared" si="17"/>
        <v/>
      </c>
      <c r="D500" s="113"/>
      <c r="E500" s="114"/>
      <c r="F500" s="114"/>
      <c r="G500" s="114"/>
      <c r="H500" s="114"/>
      <c r="I500" s="114"/>
      <c r="J500" s="114"/>
      <c r="K500" s="314"/>
      <c r="L500" s="314"/>
      <c r="M500" s="315"/>
      <c r="N500" s="138"/>
      <c r="O500" s="26">
        <f t="shared" si="16"/>
        <v>0</v>
      </c>
      <c r="AA500" s="54"/>
      <c r="AB500" s="54"/>
      <c r="AC500" s="54"/>
      <c r="AD500" s="54"/>
      <c r="AE500" s="54"/>
      <c r="AF500" s="54"/>
    </row>
    <row r="501" spans="1:32" ht="15" hidden="1" customHeight="1" x14ac:dyDescent="0.2">
      <c r="C501" s="58" t="str">
        <f t="shared" si="17"/>
        <v/>
      </c>
      <c r="D501" s="113"/>
      <c r="E501" s="114"/>
      <c r="F501" s="114"/>
      <c r="G501" s="114"/>
      <c r="H501" s="114"/>
      <c r="I501" s="114"/>
      <c r="J501" s="114"/>
      <c r="K501" s="314"/>
      <c r="L501" s="314"/>
      <c r="M501" s="315"/>
      <c r="N501" s="138"/>
      <c r="O501" s="26">
        <f t="shared" si="16"/>
        <v>0</v>
      </c>
      <c r="AA501" s="54"/>
      <c r="AB501" s="54"/>
      <c r="AC501" s="54"/>
      <c r="AD501" s="54"/>
      <c r="AE501" s="54"/>
      <c r="AF501" s="54"/>
    </row>
    <row r="502" spans="1:32" ht="15" hidden="1" customHeight="1" x14ac:dyDescent="0.2">
      <c r="C502" s="58" t="str">
        <f t="shared" si="17"/>
        <v/>
      </c>
      <c r="D502" s="113"/>
      <c r="E502" s="114"/>
      <c r="F502" s="114"/>
      <c r="G502" s="114"/>
      <c r="H502" s="114"/>
      <c r="I502" s="114"/>
      <c r="J502" s="114"/>
      <c r="K502" s="314"/>
      <c r="L502" s="314"/>
      <c r="M502" s="315"/>
      <c r="N502" s="138"/>
      <c r="O502" s="26">
        <f t="shared" si="16"/>
        <v>0</v>
      </c>
      <c r="AA502" s="54"/>
      <c r="AB502" s="54"/>
      <c r="AC502" s="54"/>
      <c r="AD502" s="54"/>
      <c r="AE502" s="54"/>
      <c r="AF502" s="54"/>
    </row>
    <row r="503" spans="1:32" ht="15" hidden="1" customHeight="1" x14ac:dyDescent="0.2">
      <c r="C503" s="58" t="str">
        <f t="shared" si="17"/>
        <v/>
      </c>
      <c r="D503" s="113"/>
      <c r="E503" s="114"/>
      <c r="F503" s="114"/>
      <c r="G503" s="114"/>
      <c r="H503" s="114"/>
      <c r="I503" s="114"/>
      <c r="J503" s="114"/>
      <c r="K503" s="314"/>
      <c r="L503" s="314"/>
      <c r="M503" s="315"/>
      <c r="N503" s="138"/>
      <c r="O503" s="26">
        <f t="shared" si="16"/>
        <v>0</v>
      </c>
      <c r="AA503" s="54"/>
      <c r="AB503" s="54"/>
      <c r="AC503" s="54"/>
      <c r="AD503" s="54"/>
      <c r="AE503" s="54"/>
      <c r="AF503" s="54"/>
    </row>
    <row r="504" spans="1:32" ht="15" hidden="1" customHeight="1" x14ac:dyDescent="0.2">
      <c r="C504" s="58" t="str">
        <f t="shared" si="17"/>
        <v/>
      </c>
      <c r="D504" s="113"/>
      <c r="E504" s="114"/>
      <c r="F504" s="114"/>
      <c r="G504" s="114"/>
      <c r="H504" s="114"/>
      <c r="I504" s="114"/>
      <c r="J504" s="114"/>
      <c r="K504" s="314"/>
      <c r="L504" s="314"/>
      <c r="M504" s="315"/>
      <c r="N504" s="138"/>
      <c r="O504" s="26">
        <f t="shared" si="16"/>
        <v>0</v>
      </c>
      <c r="AA504" s="54"/>
      <c r="AB504" s="54"/>
      <c r="AC504" s="54"/>
      <c r="AD504" s="54"/>
      <c r="AE504" s="54"/>
      <c r="AF504" s="54"/>
    </row>
    <row r="505" spans="1:32" ht="15" hidden="1" customHeight="1" x14ac:dyDescent="0.2">
      <c r="C505" s="58" t="str">
        <f t="shared" si="17"/>
        <v/>
      </c>
      <c r="D505" s="113"/>
      <c r="E505" s="114"/>
      <c r="F505" s="114"/>
      <c r="G505" s="114"/>
      <c r="H505" s="114"/>
      <c r="I505" s="114"/>
      <c r="J505" s="114"/>
      <c r="K505" s="314"/>
      <c r="L505" s="314"/>
      <c r="M505" s="315"/>
      <c r="N505" s="138"/>
      <c r="O505" s="26">
        <f t="shared" si="16"/>
        <v>0</v>
      </c>
      <c r="AA505" s="54"/>
      <c r="AB505" s="54"/>
      <c r="AC505" s="54"/>
      <c r="AD505" s="54"/>
      <c r="AE505" s="54"/>
      <c r="AF505" s="54"/>
    </row>
    <row r="506" spans="1:32" ht="15" hidden="1" customHeight="1" x14ac:dyDescent="0.2">
      <c r="C506" s="58" t="str">
        <f t="shared" si="17"/>
        <v/>
      </c>
      <c r="D506" s="113"/>
      <c r="E506" s="114"/>
      <c r="F506" s="114"/>
      <c r="G506" s="114"/>
      <c r="H506" s="114"/>
      <c r="I506" s="114"/>
      <c r="J506" s="114"/>
      <c r="K506" s="314"/>
      <c r="L506" s="314"/>
      <c r="M506" s="315"/>
      <c r="N506" s="138"/>
      <c r="O506" s="26">
        <f t="shared" si="16"/>
        <v>0</v>
      </c>
      <c r="AA506" s="54"/>
      <c r="AB506" s="54"/>
      <c r="AC506" s="54"/>
      <c r="AD506" s="54"/>
      <c r="AE506" s="54"/>
      <c r="AF506" s="54"/>
    </row>
    <row r="507" spans="1:32" ht="15" hidden="1" customHeight="1" x14ac:dyDescent="0.2">
      <c r="C507" s="58" t="str">
        <f t="shared" si="17"/>
        <v/>
      </c>
      <c r="D507" s="113"/>
      <c r="E507" s="114"/>
      <c r="F507" s="114"/>
      <c r="G507" s="114"/>
      <c r="H507" s="114"/>
      <c r="I507" s="114"/>
      <c r="J507" s="114"/>
      <c r="K507" s="314"/>
      <c r="L507" s="314"/>
      <c r="M507" s="315"/>
      <c r="N507" s="138"/>
      <c r="O507" s="26">
        <f t="shared" si="16"/>
        <v>0</v>
      </c>
      <c r="AA507" s="54"/>
      <c r="AB507" s="54"/>
      <c r="AC507" s="54"/>
      <c r="AD507" s="54"/>
      <c r="AE507" s="54"/>
      <c r="AF507" s="54"/>
    </row>
    <row r="508" spans="1:32" ht="15" hidden="1" customHeight="1" x14ac:dyDescent="0.2">
      <c r="C508" s="58" t="str">
        <f t="shared" si="17"/>
        <v/>
      </c>
      <c r="D508" s="113"/>
      <c r="E508" s="114"/>
      <c r="F508" s="114"/>
      <c r="G508" s="114"/>
      <c r="H508" s="114"/>
      <c r="I508" s="114"/>
      <c r="J508" s="114"/>
      <c r="K508" s="314"/>
      <c r="L508" s="314"/>
      <c r="M508" s="315"/>
      <c r="N508" s="138"/>
      <c r="O508" s="26">
        <f t="shared" si="16"/>
        <v>0</v>
      </c>
      <c r="AA508" s="54"/>
      <c r="AB508" s="54"/>
      <c r="AC508" s="54"/>
      <c r="AD508" s="54"/>
      <c r="AE508" s="54"/>
      <c r="AF508" s="54"/>
    </row>
    <row r="509" spans="1:32" ht="15" hidden="1" customHeight="1" x14ac:dyDescent="0.2">
      <c r="C509" s="58" t="str">
        <f t="shared" si="17"/>
        <v/>
      </c>
      <c r="D509" s="113"/>
      <c r="E509" s="114"/>
      <c r="F509" s="114"/>
      <c r="G509" s="114"/>
      <c r="H509" s="114"/>
      <c r="I509" s="114"/>
      <c r="J509" s="114"/>
      <c r="K509" s="314"/>
      <c r="L509" s="314"/>
      <c r="M509" s="315"/>
      <c r="N509" s="138"/>
      <c r="O509" s="26">
        <f t="shared" si="16"/>
        <v>0</v>
      </c>
      <c r="AA509" s="54"/>
      <c r="AB509" s="54"/>
      <c r="AC509" s="54"/>
      <c r="AD509" s="54"/>
      <c r="AE509" s="54"/>
      <c r="AF509" s="54"/>
    </row>
    <row r="510" spans="1:32" ht="15" hidden="1" customHeight="1" x14ac:dyDescent="0.2">
      <c r="C510" s="58" t="str">
        <f t="shared" si="17"/>
        <v/>
      </c>
      <c r="D510" s="113"/>
      <c r="E510" s="114"/>
      <c r="F510" s="114"/>
      <c r="G510" s="114"/>
      <c r="H510" s="114"/>
      <c r="I510" s="114"/>
      <c r="J510" s="114"/>
      <c r="K510" s="314"/>
      <c r="L510" s="314"/>
      <c r="M510" s="315"/>
      <c r="N510" s="138"/>
      <c r="O510" s="26">
        <f t="shared" si="16"/>
        <v>0</v>
      </c>
      <c r="AA510" s="54"/>
      <c r="AB510" s="54"/>
      <c r="AC510" s="54"/>
      <c r="AD510" s="54"/>
      <c r="AE510" s="54"/>
      <c r="AF510" s="54"/>
    </row>
    <row r="511" spans="1:32" ht="15" hidden="1" customHeight="1" x14ac:dyDescent="0.2">
      <c r="C511" s="58" t="str">
        <f t="shared" si="17"/>
        <v/>
      </c>
      <c r="D511" s="113"/>
      <c r="E511" s="114"/>
      <c r="F511" s="114"/>
      <c r="G511" s="114"/>
      <c r="H511" s="114"/>
      <c r="I511" s="114"/>
      <c r="J511" s="114"/>
      <c r="K511" s="314"/>
      <c r="L511" s="314"/>
      <c r="M511" s="315"/>
      <c r="N511" s="138"/>
      <c r="O511" s="26">
        <f t="shared" si="16"/>
        <v>0</v>
      </c>
      <c r="AA511" s="54"/>
      <c r="AB511" s="54"/>
      <c r="AC511" s="54"/>
      <c r="AD511" s="54"/>
      <c r="AE511" s="54"/>
      <c r="AF511" s="54"/>
    </row>
    <row r="512" spans="1:32" ht="15" hidden="1" customHeight="1" x14ac:dyDescent="0.2">
      <c r="C512" s="58" t="str">
        <f t="shared" si="17"/>
        <v/>
      </c>
      <c r="D512" s="113"/>
      <c r="E512" s="114"/>
      <c r="F512" s="114"/>
      <c r="G512" s="114"/>
      <c r="H512" s="114"/>
      <c r="I512" s="114"/>
      <c r="J512" s="114"/>
      <c r="K512" s="314"/>
      <c r="L512" s="314"/>
      <c r="M512" s="315"/>
      <c r="N512" s="138"/>
      <c r="O512" s="26">
        <f t="shared" si="16"/>
        <v>0</v>
      </c>
      <c r="AA512" s="54"/>
      <c r="AB512" s="54"/>
      <c r="AC512" s="54"/>
      <c r="AD512" s="54"/>
      <c r="AE512" s="54"/>
      <c r="AF512" s="54"/>
    </row>
    <row r="513" spans="3:32" ht="15" hidden="1" customHeight="1" x14ac:dyDescent="0.2">
      <c r="C513" s="58" t="str">
        <f t="shared" si="17"/>
        <v/>
      </c>
      <c r="D513" s="113"/>
      <c r="E513" s="114"/>
      <c r="F513" s="114"/>
      <c r="G513" s="114"/>
      <c r="H513" s="114"/>
      <c r="I513" s="114"/>
      <c r="J513" s="114"/>
      <c r="K513" s="314"/>
      <c r="L513" s="314"/>
      <c r="M513" s="315"/>
      <c r="N513" s="138"/>
      <c r="O513" s="26">
        <f t="shared" si="16"/>
        <v>0</v>
      </c>
      <c r="AA513" s="54"/>
      <c r="AB513" s="54"/>
      <c r="AC513" s="54"/>
      <c r="AD513" s="54"/>
      <c r="AE513" s="54"/>
      <c r="AF513" s="54"/>
    </row>
    <row r="514" spans="3:32" ht="15" hidden="1" customHeight="1" x14ac:dyDescent="0.2">
      <c r="C514" s="58" t="str">
        <f t="shared" si="17"/>
        <v/>
      </c>
      <c r="D514" s="113"/>
      <c r="E514" s="114"/>
      <c r="F514" s="114"/>
      <c r="G514" s="114"/>
      <c r="H514" s="114"/>
      <c r="I514" s="114"/>
      <c r="J514" s="114"/>
      <c r="K514" s="314"/>
      <c r="L514" s="314"/>
      <c r="M514" s="315"/>
      <c r="N514" s="138"/>
      <c r="O514" s="26">
        <f t="shared" si="16"/>
        <v>0</v>
      </c>
      <c r="AA514" s="54"/>
      <c r="AB514" s="54"/>
      <c r="AC514" s="54"/>
      <c r="AD514" s="54"/>
      <c r="AE514" s="54"/>
      <c r="AF514" s="54"/>
    </row>
    <row r="515" spans="3:32" ht="15" hidden="1" customHeight="1" x14ac:dyDescent="0.2">
      <c r="C515" s="58" t="str">
        <f t="shared" si="17"/>
        <v/>
      </c>
      <c r="D515" s="113"/>
      <c r="E515" s="114"/>
      <c r="F515" s="114"/>
      <c r="G515" s="114"/>
      <c r="H515" s="114"/>
      <c r="I515" s="114"/>
      <c r="J515" s="114"/>
      <c r="K515" s="314"/>
      <c r="L515" s="314"/>
      <c r="M515" s="315"/>
      <c r="N515" s="138"/>
      <c r="O515" s="26">
        <f t="shared" si="16"/>
        <v>0</v>
      </c>
      <c r="AA515" s="54"/>
      <c r="AB515" s="54"/>
      <c r="AC515" s="54"/>
      <c r="AD515" s="54"/>
      <c r="AE515" s="54"/>
      <c r="AF515" s="54"/>
    </row>
    <row r="516" spans="3:32" ht="15" hidden="1" customHeight="1" x14ac:dyDescent="0.2">
      <c r="C516" s="58" t="str">
        <f t="shared" si="17"/>
        <v/>
      </c>
      <c r="D516" s="113"/>
      <c r="E516" s="114"/>
      <c r="F516" s="114"/>
      <c r="G516" s="114"/>
      <c r="H516" s="114"/>
      <c r="I516" s="114"/>
      <c r="J516" s="114"/>
      <c r="K516" s="314"/>
      <c r="L516" s="314"/>
      <c r="M516" s="315"/>
      <c r="N516" s="138"/>
      <c r="O516" s="26">
        <f t="shared" si="16"/>
        <v>0</v>
      </c>
      <c r="AA516" s="54"/>
      <c r="AB516" s="54"/>
      <c r="AC516" s="54"/>
      <c r="AD516" s="54"/>
      <c r="AE516" s="54"/>
      <c r="AF516" s="54"/>
    </row>
    <row r="517" spans="3:32" ht="15" hidden="1" customHeight="1" x14ac:dyDescent="0.2">
      <c r="C517" s="58" t="str">
        <f t="shared" si="17"/>
        <v/>
      </c>
      <c r="D517" s="113"/>
      <c r="E517" s="114"/>
      <c r="F517" s="114"/>
      <c r="G517" s="114"/>
      <c r="H517" s="114"/>
      <c r="I517" s="114"/>
      <c r="J517" s="114"/>
      <c r="K517" s="314"/>
      <c r="L517" s="314"/>
      <c r="M517" s="315"/>
      <c r="N517" s="138"/>
      <c r="O517" s="26">
        <f t="shared" si="16"/>
        <v>0</v>
      </c>
      <c r="AA517" s="54"/>
      <c r="AB517" s="54"/>
      <c r="AC517" s="54"/>
      <c r="AD517" s="54"/>
      <c r="AE517" s="54"/>
      <c r="AF517" s="54"/>
    </row>
    <row r="518" spans="3:32" ht="15" hidden="1" customHeight="1" x14ac:dyDescent="0.2">
      <c r="C518" s="58" t="str">
        <f t="shared" si="17"/>
        <v/>
      </c>
      <c r="D518" s="113"/>
      <c r="E518" s="114"/>
      <c r="F518" s="114"/>
      <c r="G518" s="114"/>
      <c r="H518" s="114"/>
      <c r="I518" s="114"/>
      <c r="J518" s="114"/>
      <c r="K518" s="314"/>
      <c r="L518" s="314"/>
      <c r="M518" s="315"/>
      <c r="N518" s="138"/>
      <c r="O518" s="26">
        <f t="shared" si="16"/>
        <v>0</v>
      </c>
      <c r="AA518" s="54"/>
      <c r="AB518" s="54"/>
      <c r="AC518" s="54"/>
      <c r="AD518" s="54"/>
      <c r="AE518" s="54"/>
      <c r="AF518" s="54"/>
    </row>
    <row r="519" spans="3:32" ht="15" hidden="1" customHeight="1" x14ac:dyDescent="0.2">
      <c r="C519" s="58" t="str">
        <f t="shared" si="17"/>
        <v/>
      </c>
      <c r="D519" s="113"/>
      <c r="E519" s="114"/>
      <c r="F519" s="114"/>
      <c r="G519" s="114"/>
      <c r="H519" s="114"/>
      <c r="I519" s="114"/>
      <c r="J519" s="114"/>
      <c r="K519" s="314"/>
      <c r="L519" s="314"/>
      <c r="M519" s="315"/>
      <c r="N519" s="138"/>
      <c r="O519" s="26">
        <f t="shared" si="16"/>
        <v>0</v>
      </c>
      <c r="AA519" s="54"/>
      <c r="AB519" s="54"/>
      <c r="AC519" s="54"/>
      <c r="AD519" s="54"/>
      <c r="AE519" s="54"/>
      <c r="AF519" s="54"/>
    </row>
    <row r="520" spans="3:32" ht="15" hidden="1" customHeight="1" x14ac:dyDescent="0.2">
      <c r="C520" s="58" t="str">
        <f t="shared" si="17"/>
        <v/>
      </c>
      <c r="D520" s="113"/>
      <c r="E520" s="114"/>
      <c r="F520" s="114"/>
      <c r="G520" s="114"/>
      <c r="H520" s="114"/>
      <c r="I520" s="114"/>
      <c r="J520" s="114"/>
      <c r="K520" s="314"/>
      <c r="L520" s="314"/>
      <c r="M520" s="315"/>
      <c r="N520" s="138"/>
      <c r="O520" s="26">
        <f t="shared" si="16"/>
        <v>0</v>
      </c>
      <c r="AA520" s="54"/>
      <c r="AB520" s="54"/>
      <c r="AC520" s="54"/>
      <c r="AD520" s="54"/>
      <c r="AE520" s="54"/>
      <c r="AF520" s="54"/>
    </row>
    <row r="521" spans="3:32" ht="15" hidden="1" customHeight="1" x14ac:dyDescent="0.2">
      <c r="C521" s="58" t="str">
        <f t="shared" si="17"/>
        <v/>
      </c>
      <c r="D521" s="113"/>
      <c r="E521" s="114"/>
      <c r="F521" s="114"/>
      <c r="G521" s="114"/>
      <c r="H521" s="114"/>
      <c r="I521" s="114"/>
      <c r="J521" s="114"/>
      <c r="K521" s="314"/>
      <c r="L521" s="314"/>
      <c r="M521" s="315"/>
      <c r="N521" s="138"/>
      <c r="O521" s="26">
        <f t="shared" si="16"/>
        <v>0</v>
      </c>
      <c r="AA521" s="54"/>
      <c r="AB521" s="54"/>
      <c r="AC521" s="54"/>
      <c r="AD521" s="54"/>
      <c r="AE521" s="54"/>
      <c r="AF521" s="54"/>
    </row>
    <row r="522" spans="3:32" ht="15" hidden="1" customHeight="1" x14ac:dyDescent="0.2">
      <c r="C522" s="58" t="str">
        <f t="shared" si="17"/>
        <v/>
      </c>
      <c r="D522" s="113"/>
      <c r="E522" s="114"/>
      <c r="F522" s="114"/>
      <c r="G522" s="114"/>
      <c r="H522" s="114"/>
      <c r="I522" s="114"/>
      <c r="J522" s="114"/>
      <c r="K522" s="314"/>
      <c r="L522" s="314"/>
      <c r="M522" s="315"/>
      <c r="N522" s="138"/>
      <c r="O522" s="26">
        <f t="shared" si="16"/>
        <v>0</v>
      </c>
      <c r="AA522" s="54"/>
      <c r="AB522" s="54"/>
      <c r="AC522" s="54"/>
      <c r="AD522" s="54"/>
      <c r="AE522" s="54"/>
      <c r="AF522" s="54"/>
    </row>
    <row r="523" spans="3:32" ht="15" hidden="1" customHeight="1" x14ac:dyDescent="0.2">
      <c r="C523" s="58" t="str">
        <f t="shared" si="17"/>
        <v/>
      </c>
      <c r="D523" s="113"/>
      <c r="E523" s="114"/>
      <c r="F523" s="114"/>
      <c r="G523" s="114"/>
      <c r="H523" s="114"/>
      <c r="I523" s="114"/>
      <c r="J523" s="114"/>
      <c r="K523" s="314"/>
      <c r="L523" s="314"/>
      <c r="M523" s="315"/>
      <c r="N523" s="138"/>
      <c r="O523" s="26">
        <f t="shared" si="16"/>
        <v>0</v>
      </c>
      <c r="AA523" s="54"/>
      <c r="AB523" s="54"/>
      <c r="AC523" s="54"/>
      <c r="AD523" s="54"/>
      <c r="AE523" s="54"/>
      <c r="AF523" s="54"/>
    </row>
    <row r="524" spans="3:32" ht="15" hidden="1" customHeight="1" x14ac:dyDescent="0.2">
      <c r="C524" s="58" t="str">
        <f t="shared" si="17"/>
        <v/>
      </c>
      <c r="D524" s="113"/>
      <c r="E524" s="114"/>
      <c r="F524" s="114"/>
      <c r="G524" s="114"/>
      <c r="H524" s="114"/>
      <c r="I524" s="114"/>
      <c r="J524" s="114"/>
      <c r="K524" s="314"/>
      <c r="L524" s="314"/>
      <c r="M524" s="315"/>
      <c r="N524" s="138"/>
      <c r="O524" s="26">
        <f t="shared" si="16"/>
        <v>0</v>
      </c>
      <c r="AA524" s="54"/>
      <c r="AB524" s="54"/>
      <c r="AC524" s="54"/>
      <c r="AD524" s="54"/>
      <c r="AE524" s="54"/>
      <c r="AF524" s="54"/>
    </row>
    <row r="525" spans="3:32" ht="15" hidden="1" customHeight="1" x14ac:dyDescent="0.2">
      <c r="C525" s="58" t="str">
        <f t="shared" si="17"/>
        <v/>
      </c>
      <c r="D525" s="113"/>
      <c r="E525" s="114"/>
      <c r="F525" s="114"/>
      <c r="G525" s="114"/>
      <c r="H525" s="114"/>
      <c r="I525" s="114"/>
      <c r="J525" s="114"/>
      <c r="K525" s="314"/>
      <c r="L525" s="314"/>
      <c r="M525" s="315"/>
      <c r="N525" s="138"/>
      <c r="O525" s="26">
        <f t="shared" si="16"/>
        <v>0</v>
      </c>
      <c r="AA525" s="54"/>
      <c r="AB525" s="54"/>
      <c r="AC525" s="54"/>
      <c r="AD525" s="54"/>
      <c r="AE525" s="54"/>
      <c r="AF525" s="54"/>
    </row>
    <row r="526" spans="3:32" ht="15" hidden="1" customHeight="1" x14ac:dyDescent="0.2">
      <c r="C526" s="58" t="str">
        <f t="shared" si="17"/>
        <v/>
      </c>
      <c r="D526" s="113"/>
      <c r="E526" s="114"/>
      <c r="F526" s="114"/>
      <c r="G526" s="114"/>
      <c r="H526" s="114"/>
      <c r="I526" s="114"/>
      <c r="J526" s="114"/>
      <c r="K526" s="314"/>
      <c r="L526" s="314"/>
      <c r="M526" s="315"/>
      <c r="N526" s="138"/>
      <c r="O526" s="26">
        <f t="shared" si="16"/>
        <v>0</v>
      </c>
      <c r="AA526" s="54"/>
      <c r="AB526" s="54"/>
      <c r="AC526" s="54"/>
      <c r="AD526" s="54"/>
      <c r="AE526" s="54"/>
      <c r="AF526" s="54"/>
    </row>
    <row r="527" spans="3:32" ht="15" hidden="1" customHeight="1" x14ac:dyDescent="0.2">
      <c r="C527" s="58" t="str">
        <f t="shared" si="17"/>
        <v/>
      </c>
      <c r="D527" s="113"/>
      <c r="E527" s="114"/>
      <c r="F527" s="114"/>
      <c r="G527" s="114"/>
      <c r="H527" s="114"/>
      <c r="I527" s="114"/>
      <c r="J527" s="114"/>
      <c r="K527" s="314"/>
      <c r="L527" s="314"/>
      <c r="M527" s="315"/>
      <c r="N527" s="138"/>
      <c r="O527" s="26">
        <f t="shared" si="16"/>
        <v>0</v>
      </c>
      <c r="AA527" s="54"/>
      <c r="AB527" s="54"/>
      <c r="AC527" s="54"/>
      <c r="AD527" s="54"/>
      <c r="AE527" s="54"/>
      <c r="AF527" s="54"/>
    </row>
    <row r="528" spans="3:32" ht="15" hidden="1" customHeight="1" x14ac:dyDescent="0.2">
      <c r="C528" s="58" t="str">
        <f t="shared" si="17"/>
        <v/>
      </c>
      <c r="D528" s="113"/>
      <c r="E528" s="114"/>
      <c r="F528" s="114"/>
      <c r="G528" s="114"/>
      <c r="H528" s="114"/>
      <c r="I528" s="114"/>
      <c r="J528" s="114"/>
      <c r="K528" s="314"/>
      <c r="L528" s="314"/>
      <c r="M528" s="315"/>
      <c r="N528" s="138"/>
      <c r="O528" s="26">
        <f t="shared" si="16"/>
        <v>0</v>
      </c>
      <c r="AA528" s="54"/>
      <c r="AB528" s="54"/>
      <c r="AC528" s="54"/>
      <c r="AD528" s="54"/>
      <c r="AE528" s="54"/>
      <c r="AF528" s="54"/>
    </row>
    <row r="529" spans="1:32" ht="15" hidden="1" customHeight="1" x14ac:dyDescent="0.2">
      <c r="C529" s="58" t="str">
        <f t="shared" si="17"/>
        <v/>
      </c>
      <c r="D529" s="113"/>
      <c r="E529" s="114"/>
      <c r="F529" s="114"/>
      <c r="G529" s="114"/>
      <c r="H529" s="114"/>
      <c r="I529" s="114"/>
      <c r="J529" s="114"/>
      <c r="K529" s="314"/>
      <c r="L529" s="314"/>
      <c r="M529" s="315"/>
      <c r="N529" s="138"/>
      <c r="O529" s="26">
        <f t="shared" si="16"/>
        <v>0</v>
      </c>
      <c r="AA529" s="54"/>
      <c r="AB529" s="54"/>
      <c r="AC529" s="54"/>
      <c r="AD529" s="54"/>
      <c r="AE529" s="54"/>
      <c r="AF529" s="54"/>
    </row>
    <row r="530" spans="1:32" ht="15" hidden="1" customHeight="1" x14ac:dyDescent="0.2">
      <c r="C530" s="58" t="str">
        <f t="shared" si="17"/>
        <v/>
      </c>
      <c r="D530" s="113"/>
      <c r="E530" s="114"/>
      <c r="F530" s="114"/>
      <c r="G530" s="114"/>
      <c r="H530" s="114"/>
      <c r="I530" s="114"/>
      <c r="J530" s="114"/>
      <c r="K530" s="314"/>
      <c r="L530" s="314"/>
      <c r="M530" s="315"/>
      <c r="N530" s="138"/>
      <c r="O530" s="26">
        <f t="shared" si="16"/>
        <v>0</v>
      </c>
      <c r="AA530" s="54"/>
      <c r="AB530" s="54"/>
      <c r="AC530" s="54"/>
      <c r="AD530" s="54"/>
      <c r="AE530" s="54"/>
      <c r="AF530" s="54"/>
    </row>
    <row r="531" spans="1:32" ht="15" hidden="1" customHeight="1" x14ac:dyDescent="0.2">
      <c r="C531" s="58" t="str">
        <f t="shared" si="17"/>
        <v/>
      </c>
      <c r="D531" s="113"/>
      <c r="E531" s="114"/>
      <c r="F531" s="114"/>
      <c r="G531" s="114"/>
      <c r="H531" s="114"/>
      <c r="I531" s="114"/>
      <c r="J531" s="114"/>
      <c r="K531" s="314"/>
      <c r="L531" s="314"/>
      <c r="M531" s="315"/>
      <c r="N531" s="138"/>
      <c r="O531" s="26">
        <f t="shared" si="16"/>
        <v>0</v>
      </c>
      <c r="AA531" s="54"/>
      <c r="AB531" s="54"/>
      <c r="AC531" s="54"/>
      <c r="AD531" s="54"/>
      <c r="AE531" s="54"/>
      <c r="AF531" s="54"/>
    </row>
    <row r="532" spans="1:32" ht="15" hidden="1" customHeight="1" x14ac:dyDescent="0.2">
      <c r="C532" s="58" t="str">
        <f t="shared" si="17"/>
        <v/>
      </c>
      <c r="D532" s="113"/>
      <c r="E532" s="114"/>
      <c r="F532" s="114"/>
      <c r="G532" s="114"/>
      <c r="H532" s="114"/>
      <c r="I532" s="114"/>
      <c r="J532" s="114"/>
      <c r="K532" s="314"/>
      <c r="L532" s="314"/>
      <c r="M532" s="315"/>
      <c r="N532" s="138"/>
      <c r="O532" s="26">
        <f t="shared" si="16"/>
        <v>0</v>
      </c>
      <c r="AA532" s="54"/>
      <c r="AB532" s="54"/>
      <c r="AC532" s="54"/>
      <c r="AD532" s="54"/>
      <c r="AE532" s="54"/>
      <c r="AF532" s="54"/>
    </row>
    <row r="533" spans="1:32" ht="15" hidden="1" customHeight="1" x14ac:dyDescent="0.2">
      <c r="A533" s="28" t="s">
        <v>159</v>
      </c>
      <c r="C533" s="285" t="s">
        <v>327</v>
      </c>
      <c r="D533" s="285"/>
      <c r="E533" s="285"/>
      <c r="F533" s="285"/>
      <c r="G533" s="285"/>
      <c r="H533" s="285"/>
      <c r="I533" s="285"/>
      <c r="J533" s="285"/>
      <c r="K533" s="285"/>
      <c r="L533" s="285"/>
      <c r="M533" s="285"/>
      <c r="N533" s="138"/>
      <c r="AA533" s="54"/>
      <c r="AB533" s="54"/>
      <c r="AC533" s="54"/>
      <c r="AD533" s="54"/>
      <c r="AE533" s="54"/>
      <c r="AF533" s="54"/>
    </row>
    <row r="534" spans="1:32" ht="15" hidden="1" customHeight="1" x14ac:dyDescent="0.2">
      <c r="A534" s="28" t="s">
        <v>282</v>
      </c>
      <c r="C534" s="20" t="s">
        <v>125</v>
      </c>
      <c r="D534" s="318"/>
      <c r="E534" s="319"/>
      <c r="F534" s="319"/>
      <c r="G534" s="319"/>
      <c r="H534" s="319"/>
      <c r="I534" s="319"/>
      <c r="J534" s="319"/>
      <c r="K534" s="319"/>
      <c r="L534" s="319"/>
      <c r="M534" s="320"/>
      <c r="N534" s="138"/>
      <c r="AA534" s="54"/>
      <c r="AB534" s="54"/>
      <c r="AC534" s="54"/>
      <c r="AD534" s="54"/>
      <c r="AE534" s="54"/>
      <c r="AF534" s="54"/>
    </row>
    <row r="535" spans="1:32" ht="15" hidden="1" customHeight="1" x14ac:dyDescent="0.2">
      <c r="C535" s="295"/>
      <c r="D535" s="321"/>
      <c r="E535" s="322"/>
      <c r="F535" s="322"/>
      <c r="G535" s="322"/>
      <c r="H535" s="322"/>
      <c r="I535" s="322"/>
      <c r="J535" s="322"/>
      <c r="K535" s="322"/>
      <c r="L535" s="322"/>
      <c r="M535" s="323"/>
      <c r="N535" s="138"/>
      <c r="AA535" s="54"/>
      <c r="AB535" s="54"/>
      <c r="AC535" s="54"/>
      <c r="AD535" s="54"/>
      <c r="AE535" s="54"/>
      <c r="AF535" s="54"/>
    </row>
    <row r="536" spans="1:32" ht="15" hidden="1" customHeight="1" x14ac:dyDescent="0.2">
      <c r="A536" s="28" t="s">
        <v>298</v>
      </c>
      <c r="C536" s="295"/>
      <c r="D536" s="321"/>
      <c r="E536" s="322"/>
      <c r="F536" s="322"/>
      <c r="G536" s="322"/>
      <c r="H536" s="322"/>
      <c r="I536" s="322"/>
      <c r="J536" s="322"/>
      <c r="K536" s="322"/>
      <c r="L536" s="322"/>
      <c r="M536" s="323"/>
      <c r="N536" s="138"/>
      <c r="AA536" s="54"/>
      <c r="AB536" s="54"/>
      <c r="AC536" s="54"/>
      <c r="AD536" s="54"/>
      <c r="AE536" s="54"/>
      <c r="AF536" s="54"/>
    </row>
    <row r="537" spans="1:32" ht="15" hidden="1" customHeight="1" x14ac:dyDescent="0.2">
      <c r="A537" s="28" t="s">
        <v>46</v>
      </c>
      <c r="C537" s="295"/>
      <c r="D537" s="321"/>
      <c r="E537" s="322"/>
      <c r="F537" s="322"/>
      <c r="G537" s="322"/>
      <c r="H537" s="322"/>
      <c r="I537" s="322"/>
      <c r="J537" s="322"/>
      <c r="K537" s="322"/>
      <c r="L537" s="322"/>
      <c r="M537" s="323"/>
      <c r="N537" s="138"/>
      <c r="AA537" s="54"/>
      <c r="AB537" s="54"/>
      <c r="AC537" s="54"/>
      <c r="AD537" s="54"/>
      <c r="AE537" s="54"/>
      <c r="AF537" s="54"/>
    </row>
    <row r="538" spans="1:32" ht="15" hidden="1" customHeight="1" x14ac:dyDescent="0.2">
      <c r="C538" s="295"/>
      <c r="D538" s="324"/>
      <c r="E538" s="325"/>
      <c r="F538" s="325"/>
      <c r="G538" s="325"/>
      <c r="H538" s="325"/>
      <c r="I538" s="325"/>
      <c r="J538" s="325"/>
      <c r="K538" s="325"/>
      <c r="L538" s="325"/>
      <c r="M538" s="326"/>
      <c r="N538" s="138"/>
      <c r="AA538" s="54"/>
      <c r="AB538" s="54"/>
      <c r="AC538" s="54"/>
      <c r="AD538" s="54"/>
      <c r="AE538" s="54"/>
      <c r="AF538" s="54"/>
    </row>
    <row r="539" spans="1:32" ht="15" hidden="1" customHeight="1" thickBot="1" x14ac:dyDescent="0.25">
      <c r="C539" s="296"/>
      <c r="D539" s="296"/>
      <c r="E539" s="296"/>
      <c r="F539" s="296"/>
      <c r="G539" s="296"/>
      <c r="H539" s="296"/>
      <c r="I539" s="296"/>
      <c r="J539" s="296"/>
      <c r="K539" s="296"/>
      <c r="L539" s="296"/>
      <c r="M539" s="296"/>
      <c r="N539" s="138"/>
      <c r="AA539" s="54"/>
      <c r="AB539" s="54"/>
      <c r="AC539" s="54"/>
      <c r="AD539" s="54"/>
      <c r="AE539" s="54"/>
      <c r="AF539" s="54"/>
    </row>
    <row r="540" spans="1:32" ht="15" hidden="1" customHeight="1" thickBot="1" x14ac:dyDescent="0.25">
      <c r="C540" s="332"/>
      <c r="D540" s="332"/>
      <c r="E540" s="332"/>
      <c r="F540" s="332"/>
      <c r="G540" s="332"/>
      <c r="H540" s="332"/>
      <c r="I540" s="332"/>
      <c r="J540" s="332"/>
      <c r="K540" s="332"/>
      <c r="L540" s="332"/>
      <c r="M540" s="332"/>
      <c r="N540" s="138"/>
      <c r="AA540" s="54"/>
      <c r="AB540" s="54"/>
      <c r="AC540" s="54"/>
      <c r="AD540" s="54"/>
      <c r="AE540" s="54"/>
      <c r="AF540" s="54"/>
    </row>
    <row r="541" spans="1:32" ht="15" customHeight="1" thickBot="1" x14ac:dyDescent="0.25">
      <c r="A541" s="134" t="b">
        <v>0</v>
      </c>
      <c r="C541" s="304" t="s">
        <v>319</v>
      </c>
      <c r="D541" s="304"/>
      <c r="E541" s="304"/>
      <c r="F541" s="243"/>
      <c r="G541" s="243"/>
      <c r="H541" s="243"/>
      <c r="I541" s="243"/>
      <c r="J541" s="243"/>
      <c r="K541" s="243"/>
      <c r="L541" s="243"/>
      <c r="M541" s="243"/>
      <c r="N541" s="138"/>
      <c r="O541" s="26">
        <f>SUM(O545:O570)</f>
        <v>0</v>
      </c>
      <c r="AA541" s="54"/>
      <c r="AB541" s="54">
        <f>ROW()</f>
        <v>541</v>
      </c>
      <c r="AC541" s="54">
        <v>5</v>
      </c>
      <c r="AD541" s="54">
        <f>AB541+43</f>
        <v>584</v>
      </c>
      <c r="AE541" s="54">
        <f>AB541+1</f>
        <v>542</v>
      </c>
      <c r="AF541" s="54">
        <f>AB541+50</f>
        <v>591</v>
      </c>
    </row>
    <row r="542" spans="1:32" ht="15" hidden="1" customHeight="1" x14ac:dyDescent="0.2">
      <c r="A542" s="28" t="s">
        <v>317</v>
      </c>
      <c r="C542" s="316" t="s">
        <v>320</v>
      </c>
      <c r="D542" s="316"/>
      <c r="E542" s="316"/>
      <c r="F542" s="115" t="s">
        <v>147</v>
      </c>
      <c r="G542" s="317"/>
      <c r="H542" s="317"/>
      <c r="I542" s="317"/>
      <c r="J542" s="317"/>
      <c r="K542" s="317"/>
      <c r="L542" s="317" t="s">
        <v>275</v>
      </c>
      <c r="M542" s="317"/>
      <c r="N542" s="136" t="str">
        <f>IF(COUNTA(D545:D584,D586)=0,"XXX","")</f>
        <v>XXX</v>
      </c>
      <c r="AA542" s="54"/>
      <c r="AB542" s="54"/>
      <c r="AC542" s="54"/>
      <c r="AD542" s="54"/>
      <c r="AE542" s="54"/>
      <c r="AF542" s="54"/>
    </row>
    <row r="543" spans="1:32" ht="15" hidden="1" customHeight="1" x14ac:dyDescent="0.2">
      <c r="A543" s="28" t="s">
        <v>324</v>
      </c>
      <c r="C543" s="163" t="s">
        <v>161</v>
      </c>
      <c r="D543" s="163" t="s">
        <v>310</v>
      </c>
      <c r="E543" s="163" t="s">
        <v>99</v>
      </c>
      <c r="F543" s="163" t="s">
        <v>176</v>
      </c>
      <c r="G543" s="163" t="s">
        <v>321</v>
      </c>
      <c r="H543" s="163" t="s">
        <v>299</v>
      </c>
      <c r="I543" s="163" t="s">
        <v>322</v>
      </c>
      <c r="J543" s="210" t="s">
        <v>45</v>
      </c>
      <c r="K543" s="210"/>
      <c r="L543" s="210"/>
      <c r="M543" s="259"/>
      <c r="N543" s="138"/>
      <c r="AA543" s="54"/>
      <c r="AB543" s="54"/>
      <c r="AC543" s="54"/>
      <c r="AD543" s="54"/>
      <c r="AE543" s="54"/>
      <c r="AF543" s="54"/>
    </row>
    <row r="544" spans="1:32" ht="15" hidden="1" customHeight="1" x14ac:dyDescent="0.2">
      <c r="A544" s="28" t="s">
        <v>325</v>
      </c>
      <c r="C544" s="164"/>
      <c r="D544" s="164"/>
      <c r="E544" s="164"/>
      <c r="F544" s="164"/>
      <c r="G544" s="164"/>
      <c r="H544" s="164"/>
      <c r="I544" s="164"/>
      <c r="J544" s="212"/>
      <c r="K544" s="212"/>
      <c r="L544" s="212"/>
      <c r="M544" s="260"/>
      <c r="N544" s="138"/>
      <c r="AA544" s="54"/>
      <c r="AB544" s="54"/>
      <c r="AC544" s="54"/>
      <c r="AD544" s="54"/>
      <c r="AE544" s="54"/>
      <c r="AF544" s="54"/>
    </row>
    <row r="545" spans="1:32" ht="15" hidden="1" customHeight="1" x14ac:dyDescent="0.2">
      <c r="A545" s="28" t="s">
        <v>316</v>
      </c>
      <c r="C545" s="58" t="str">
        <f>IF(O545&gt;0,1,"")</f>
        <v/>
      </c>
      <c r="D545" s="113"/>
      <c r="E545" s="114"/>
      <c r="F545" s="114"/>
      <c r="G545" s="114"/>
      <c r="H545" s="114"/>
      <c r="I545" s="114"/>
      <c r="J545" s="313"/>
      <c r="K545" s="314"/>
      <c r="L545" s="314"/>
      <c r="M545" s="315"/>
      <c r="N545" s="138"/>
      <c r="O545" s="26">
        <f t="shared" ref="O545:O584" si="18">IF(COUNTA(D545:M545)=0,0,1)</f>
        <v>0</v>
      </c>
      <c r="AA545" s="54"/>
      <c r="AB545" s="54"/>
      <c r="AC545" s="54"/>
      <c r="AD545" s="54"/>
      <c r="AE545" s="54"/>
      <c r="AF545" s="54"/>
    </row>
    <row r="546" spans="1:32" ht="15" hidden="1" customHeight="1" x14ac:dyDescent="0.2">
      <c r="C546" s="58" t="str">
        <f t="shared" ref="C546:C584" si="19">IF(O546&gt;0,1+C545,"")</f>
        <v/>
      </c>
      <c r="D546" s="113"/>
      <c r="E546" s="114"/>
      <c r="F546" s="114"/>
      <c r="G546" s="114"/>
      <c r="H546" s="114"/>
      <c r="I546" s="114"/>
      <c r="J546" s="313"/>
      <c r="K546" s="314"/>
      <c r="L546" s="314"/>
      <c r="M546" s="315"/>
      <c r="N546" s="138"/>
      <c r="O546" s="26">
        <f t="shared" si="18"/>
        <v>0</v>
      </c>
      <c r="AA546" s="54"/>
      <c r="AB546" s="54"/>
      <c r="AC546" s="54"/>
      <c r="AD546" s="54"/>
      <c r="AE546" s="54"/>
      <c r="AF546" s="54"/>
    </row>
    <row r="547" spans="1:32" ht="15" hidden="1" customHeight="1" x14ac:dyDescent="0.2">
      <c r="A547" s="28" t="s">
        <v>298</v>
      </c>
      <c r="C547" s="58" t="str">
        <f t="shared" si="19"/>
        <v/>
      </c>
      <c r="D547" s="113"/>
      <c r="E547" s="114"/>
      <c r="F547" s="114"/>
      <c r="G547" s="114"/>
      <c r="H547" s="114"/>
      <c r="I547" s="114"/>
      <c r="J547" s="313"/>
      <c r="K547" s="314"/>
      <c r="L547" s="314"/>
      <c r="M547" s="315"/>
      <c r="N547" s="138"/>
      <c r="O547" s="26">
        <f t="shared" si="18"/>
        <v>0</v>
      </c>
      <c r="AA547" s="54"/>
      <c r="AB547" s="54"/>
      <c r="AC547" s="54"/>
      <c r="AD547" s="54"/>
      <c r="AE547" s="54"/>
      <c r="AF547" s="54"/>
    </row>
    <row r="548" spans="1:32" ht="15" hidden="1" customHeight="1" x14ac:dyDescent="0.2">
      <c r="A548" s="28" t="s">
        <v>46</v>
      </c>
      <c r="C548" s="58" t="str">
        <f t="shared" si="19"/>
        <v/>
      </c>
      <c r="D548" s="113"/>
      <c r="E548" s="114"/>
      <c r="F548" s="114"/>
      <c r="G548" s="114"/>
      <c r="H548" s="114"/>
      <c r="I548" s="114"/>
      <c r="J548" s="313"/>
      <c r="K548" s="314"/>
      <c r="L548" s="314"/>
      <c r="M548" s="315"/>
      <c r="N548" s="138"/>
      <c r="O548" s="26">
        <f t="shared" si="18"/>
        <v>0</v>
      </c>
      <c r="AA548" s="54"/>
      <c r="AB548" s="54"/>
      <c r="AC548" s="54"/>
      <c r="AD548" s="54"/>
      <c r="AE548" s="54"/>
      <c r="AF548" s="54"/>
    </row>
    <row r="549" spans="1:32" ht="15" hidden="1" customHeight="1" x14ac:dyDescent="0.2">
      <c r="C549" s="58" t="str">
        <f t="shared" si="19"/>
        <v/>
      </c>
      <c r="D549" s="113"/>
      <c r="E549" s="114"/>
      <c r="F549" s="114"/>
      <c r="G549" s="114"/>
      <c r="H549" s="114"/>
      <c r="I549" s="114"/>
      <c r="J549" s="313"/>
      <c r="K549" s="314"/>
      <c r="L549" s="314"/>
      <c r="M549" s="315"/>
      <c r="N549" s="138"/>
      <c r="O549" s="26">
        <f t="shared" si="18"/>
        <v>0</v>
      </c>
      <c r="AA549" s="54"/>
      <c r="AB549" s="54"/>
      <c r="AC549" s="54"/>
      <c r="AD549" s="54"/>
      <c r="AE549" s="54"/>
      <c r="AF549" s="54"/>
    </row>
    <row r="550" spans="1:32" ht="15" hidden="1" customHeight="1" x14ac:dyDescent="0.2">
      <c r="A550" s="28" t="s">
        <v>307</v>
      </c>
      <c r="C550" s="58" t="str">
        <f t="shared" si="19"/>
        <v/>
      </c>
      <c r="D550" s="113"/>
      <c r="E550" s="114"/>
      <c r="F550" s="114"/>
      <c r="G550" s="114"/>
      <c r="H550" s="114"/>
      <c r="I550" s="114"/>
      <c r="J550" s="313"/>
      <c r="K550" s="314"/>
      <c r="L550" s="314"/>
      <c r="M550" s="315"/>
      <c r="N550" s="138"/>
      <c r="O550" s="26">
        <f t="shared" si="18"/>
        <v>0</v>
      </c>
      <c r="AA550" s="54"/>
      <c r="AB550" s="54"/>
      <c r="AC550" s="54"/>
      <c r="AD550" s="54"/>
      <c r="AE550" s="54"/>
      <c r="AF550" s="54"/>
    </row>
    <row r="551" spans="1:32" ht="15" hidden="1" customHeight="1" x14ac:dyDescent="0.2">
      <c r="A551" s="28" t="s">
        <v>308</v>
      </c>
      <c r="C551" s="58" t="str">
        <f t="shared" si="19"/>
        <v/>
      </c>
      <c r="D551" s="113"/>
      <c r="E551" s="114"/>
      <c r="F551" s="114"/>
      <c r="G551" s="114"/>
      <c r="H551" s="114"/>
      <c r="I551" s="114"/>
      <c r="J551" s="313"/>
      <c r="K551" s="314"/>
      <c r="L551" s="314"/>
      <c r="M551" s="315"/>
      <c r="N551" s="138"/>
      <c r="O551" s="26">
        <f t="shared" si="18"/>
        <v>0</v>
      </c>
      <c r="AA551" s="54"/>
      <c r="AB551" s="54"/>
      <c r="AC551" s="54"/>
      <c r="AD551" s="54"/>
      <c r="AE551" s="54"/>
      <c r="AF551" s="54"/>
    </row>
    <row r="552" spans="1:32" ht="15" hidden="1" customHeight="1" x14ac:dyDescent="0.2">
      <c r="C552" s="58" t="str">
        <f t="shared" si="19"/>
        <v/>
      </c>
      <c r="D552" s="113"/>
      <c r="E552" s="114"/>
      <c r="F552" s="114"/>
      <c r="G552" s="114"/>
      <c r="H552" s="114"/>
      <c r="I552" s="114"/>
      <c r="J552" s="313"/>
      <c r="K552" s="314"/>
      <c r="L552" s="314"/>
      <c r="M552" s="315"/>
      <c r="N552" s="138"/>
      <c r="O552" s="26">
        <f t="shared" si="18"/>
        <v>0</v>
      </c>
      <c r="AA552" s="54"/>
      <c r="AB552" s="54"/>
      <c r="AC552" s="54"/>
      <c r="AD552" s="54"/>
      <c r="AE552" s="54"/>
      <c r="AF552" s="54"/>
    </row>
    <row r="553" spans="1:32" ht="15" hidden="1" customHeight="1" x14ac:dyDescent="0.2">
      <c r="C553" s="58" t="str">
        <f t="shared" si="19"/>
        <v/>
      </c>
      <c r="D553" s="113"/>
      <c r="E553" s="114"/>
      <c r="F553" s="114"/>
      <c r="G553" s="114"/>
      <c r="H553" s="114"/>
      <c r="I553" s="114"/>
      <c r="J553" s="313"/>
      <c r="K553" s="314"/>
      <c r="L553" s="314"/>
      <c r="M553" s="315"/>
      <c r="N553" s="138"/>
      <c r="O553" s="26">
        <f t="shared" si="18"/>
        <v>0</v>
      </c>
      <c r="AA553" s="54"/>
      <c r="AB553" s="54"/>
      <c r="AC553" s="54"/>
      <c r="AD553" s="54"/>
      <c r="AE553" s="54"/>
      <c r="AF553" s="54"/>
    </row>
    <row r="554" spans="1:32" ht="15" hidden="1" customHeight="1" x14ac:dyDescent="0.2">
      <c r="C554" s="58" t="str">
        <f t="shared" si="19"/>
        <v/>
      </c>
      <c r="D554" s="113"/>
      <c r="E554" s="114"/>
      <c r="F554" s="114"/>
      <c r="G554" s="114"/>
      <c r="H554" s="114"/>
      <c r="I554" s="114"/>
      <c r="J554" s="313"/>
      <c r="K554" s="314"/>
      <c r="L554" s="314"/>
      <c r="M554" s="315"/>
      <c r="N554" s="138"/>
      <c r="O554" s="26">
        <f t="shared" si="18"/>
        <v>0</v>
      </c>
      <c r="AA554" s="54"/>
      <c r="AB554" s="54"/>
      <c r="AC554" s="54"/>
      <c r="AD554" s="54"/>
      <c r="AE554" s="54"/>
      <c r="AF554" s="54"/>
    </row>
    <row r="555" spans="1:32" ht="15" hidden="1" customHeight="1" x14ac:dyDescent="0.2">
      <c r="C555" s="58" t="str">
        <f t="shared" si="19"/>
        <v/>
      </c>
      <c r="D555" s="113"/>
      <c r="E555" s="114"/>
      <c r="F555" s="114"/>
      <c r="G555" s="114"/>
      <c r="H555" s="114"/>
      <c r="I555" s="114"/>
      <c r="J555" s="313"/>
      <c r="K555" s="314"/>
      <c r="L555" s="314"/>
      <c r="M555" s="315"/>
      <c r="N555" s="138"/>
      <c r="O555" s="26">
        <f t="shared" si="18"/>
        <v>0</v>
      </c>
      <c r="AA555" s="54"/>
      <c r="AB555" s="54"/>
      <c r="AC555" s="54"/>
      <c r="AD555" s="54"/>
      <c r="AE555" s="54"/>
      <c r="AF555" s="54"/>
    </row>
    <row r="556" spans="1:32" ht="15" hidden="1" customHeight="1" x14ac:dyDescent="0.2">
      <c r="C556" s="58" t="str">
        <f t="shared" si="19"/>
        <v/>
      </c>
      <c r="D556" s="113"/>
      <c r="E556" s="114"/>
      <c r="F556" s="114"/>
      <c r="G556" s="114"/>
      <c r="H556" s="114"/>
      <c r="I556" s="114"/>
      <c r="J556" s="313"/>
      <c r="K556" s="314"/>
      <c r="L556" s="314"/>
      <c r="M556" s="315"/>
      <c r="N556" s="138"/>
      <c r="O556" s="26">
        <f t="shared" si="18"/>
        <v>0</v>
      </c>
      <c r="AA556" s="54"/>
      <c r="AB556" s="54"/>
      <c r="AC556" s="54"/>
      <c r="AD556" s="54"/>
      <c r="AE556" s="54"/>
      <c r="AF556" s="54"/>
    </row>
    <row r="557" spans="1:32" ht="15" hidden="1" customHeight="1" x14ac:dyDescent="0.2">
      <c r="C557" s="58" t="str">
        <f t="shared" si="19"/>
        <v/>
      </c>
      <c r="D557" s="113"/>
      <c r="E557" s="114"/>
      <c r="F557" s="114"/>
      <c r="G557" s="114"/>
      <c r="H557" s="114"/>
      <c r="I557" s="114"/>
      <c r="J557" s="313"/>
      <c r="K557" s="314"/>
      <c r="L557" s="314"/>
      <c r="M557" s="315"/>
      <c r="N557" s="138"/>
      <c r="O557" s="26">
        <f t="shared" si="18"/>
        <v>0</v>
      </c>
      <c r="AA557" s="54"/>
      <c r="AB557" s="54"/>
      <c r="AC557" s="54"/>
      <c r="AD557" s="54"/>
      <c r="AE557" s="54"/>
      <c r="AF557" s="54"/>
    </row>
    <row r="558" spans="1:32" ht="15" hidden="1" customHeight="1" x14ac:dyDescent="0.2">
      <c r="C558" s="58" t="str">
        <f t="shared" si="19"/>
        <v/>
      </c>
      <c r="D558" s="113"/>
      <c r="E558" s="114"/>
      <c r="F558" s="114"/>
      <c r="G558" s="114"/>
      <c r="H558" s="114"/>
      <c r="I558" s="114"/>
      <c r="J558" s="313"/>
      <c r="K558" s="314"/>
      <c r="L558" s="314"/>
      <c r="M558" s="315"/>
      <c r="N558" s="138"/>
      <c r="O558" s="26">
        <f t="shared" si="18"/>
        <v>0</v>
      </c>
      <c r="AA558" s="54"/>
      <c r="AB558" s="54"/>
      <c r="AC558" s="54"/>
      <c r="AD558" s="54"/>
      <c r="AE558" s="54"/>
      <c r="AF558" s="54"/>
    </row>
    <row r="559" spans="1:32" ht="15" hidden="1" customHeight="1" x14ac:dyDescent="0.2">
      <c r="C559" s="58" t="str">
        <f t="shared" si="19"/>
        <v/>
      </c>
      <c r="D559" s="113"/>
      <c r="E559" s="114"/>
      <c r="F559" s="114"/>
      <c r="G559" s="114"/>
      <c r="H559" s="114"/>
      <c r="I559" s="114"/>
      <c r="J559" s="313"/>
      <c r="K559" s="314"/>
      <c r="L559" s="314"/>
      <c r="M559" s="315"/>
      <c r="N559" s="138"/>
      <c r="O559" s="26">
        <f t="shared" si="18"/>
        <v>0</v>
      </c>
      <c r="AA559" s="54"/>
      <c r="AB559" s="54"/>
      <c r="AC559" s="54"/>
      <c r="AD559" s="54"/>
      <c r="AE559" s="54"/>
      <c r="AF559" s="54"/>
    </row>
    <row r="560" spans="1:32" ht="15" hidden="1" customHeight="1" x14ac:dyDescent="0.2">
      <c r="C560" s="58" t="str">
        <f t="shared" si="19"/>
        <v/>
      </c>
      <c r="D560" s="113"/>
      <c r="E560" s="114"/>
      <c r="F560" s="114"/>
      <c r="G560" s="114"/>
      <c r="H560" s="114"/>
      <c r="I560" s="114"/>
      <c r="J560" s="313"/>
      <c r="K560" s="314"/>
      <c r="L560" s="314"/>
      <c r="M560" s="315"/>
      <c r="N560" s="138"/>
      <c r="O560" s="26">
        <f t="shared" si="18"/>
        <v>0</v>
      </c>
      <c r="AA560" s="54"/>
      <c r="AB560" s="54"/>
      <c r="AC560" s="54"/>
      <c r="AD560" s="54"/>
      <c r="AE560" s="54"/>
      <c r="AF560" s="54"/>
    </row>
    <row r="561" spans="3:32" ht="15" hidden="1" customHeight="1" x14ac:dyDescent="0.2">
      <c r="C561" s="58" t="str">
        <f t="shared" si="19"/>
        <v/>
      </c>
      <c r="D561" s="113"/>
      <c r="E561" s="114"/>
      <c r="F561" s="114"/>
      <c r="G561" s="114"/>
      <c r="H561" s="114"/>
      <c r="I561" s="114"/>
      <c r="J561" s="313"/>
      <c r="K561" s="314"/>
      <c r="L561" s="314"/>
      <c r="M561" s="315"/>
      <c r="N561" s="138"/>
      <c r="O561" s="26">
        <f t="shared" si="18"/>
        <v>0</v>
      </c>
      <c r="AA561" s="54"/>
      <c r="AB561" s="54"/>
      <c r="AC561" s="54"/>
      <c r="AD561" s="54"/>
      <c r="AE561" s="54"/>
      <c r="AF561" s="54"/>
    </row>
    <row r="562" spans="3:32" ht="15" hidden="1" customHeight="1" x14ac:dyDescent="0.2">
      <c r="C562" s="58" t="str">
        <f t="shared" si="19"/>
        <v/>
      </c>
      <c r="D562" s="113"/>
      <c r="E562" s="114"/>
      <c r="F562" s="114"/>
      <c r="G562" s="114"/>
      <c r="H562" s="114"/>
      <c r="I562" s="114"/>
      <c r="J562" s="313"/>
      <c r="K562" s="314"/>
      <c r="L562" s="314"/>
      <c r="M562" s="315"/>
      <c r="N562" s="138"/>
      <c r="O562" s="26">
        <f t="shared" si="18"/>
        <v>0</v>
      </c>
      <c r="AA562" s="54"/>
      <c r="AB562" s="54"/>
      <c r="AC562" s="54"/>
      <c r="AD562" s="54"/>
      <c r="AE562" s="54"/>
      <c r="AF562" s="54"/>
    </row>
    <row r="563" spans="3:32" ht="15" hidden="1" customHeight="1" x14ac:dyDescent="0.2">
      <c r="C563" s="58" t="str">
        <f t="shared" si="19"/>
        <v/>
      </c>
      <c r="D563" s="113"/>
      <c r="E563" s="114"/>
      <c r="F563" s="114"/>
      <c r="G563" s="114"/>
      <c r="H563" s="114"/>
      <c r="I563" s="114"/>
      <c r="J563" s="313"/>
      <c r="K563" s="314"/>
      <c r="L563" s="314"/>
      <c r="M563" s="315"/>
      <c r="N563" s="138"/>
      <c r="O563" s="26">
        <f t="shared" si="18"/>
        <v>0</v>
      </c>
      <c r="AA563" s="54"/>
      <c r="AB563" s="54"/>
      <c r="AC563" s="54"/>
      <c r="AD563" s="54"/>
      <c r="AE563" s="54"/>
      <c r="AF563" s="54"/>
    </row>
    <row r="564" spans="3:32" ht="15" hidden="1" customHeight="1" x14ac:dyDescent="0.2">
      <c r="C564" s="58" t="str">
        <f t="shared" si="19"/>
        <v/>
      </c>
      <c r="D564" s="113"/>
      <c r="E564" s="114"/>
      <c r="F564" s="114"/>
      <c r="G564" s="114"/>
      <c r="H564" s="114"/>
      <c r="I564" s="114"/>
      <c r="J564" s="313"/>
      <c r="K564" s="314"/>
      <c r="L564" s="314"/>
      <c r="M564" s="315"/>
      <c r="N564" s="138"/>
      <c r="O564" s="26">
        <f t="shared" si="18"/>
        <v>0</v>
      </c>
      <c r="AA564" s="54"/>
      <c r="AB564" s="54"/>
      <c r="AC564" s="54"/>
      <c r="AD564" s="54"/>
      <c r="AE564" s="54"/>
      <c r="AF564" s="54"/>
    </row>
    <row r="565" spans="3:32" ht="15" hidden="1" customHeight="1" x14ac:dyDescent="0.2">
      <c r="C565" s="58" t="str">
        <f t="shared" si="19"/>
        <v/>
      </c>
      <c r="D565" s="113"/>
      <c r="E565" s="114"/>
      <c r="F565" s="114"/>
      <c r="G565" s="114"/>
      <c r="H565" s="114"/>
      <c r="I565" s="114"/>
      <c r="J565" s="313"/>
      <c r="K565" s="314"/>
      <c r="L565" s="314"/>
      <c r="M565" s="315"/>
      <c r="N565" s="138"/>
      <c r="O565" s="26">
        <f t="shared" si="18"/>
        <v>0</v>
      </c>
      <c r="AA565" s="54"/>
      <c r="AB565" s="54"/>
      <c r="AC565" s="54"/>
      <c r="AD565" s="54"/>
      <c r="AE565" s="54"/>
      <c r="AF565" s="54"/>
    </row>
    <row r="566" spans="3:32" ht="15" hidden="1" customHeight="1" x14ac:dyDescent="0.2">
      <c r="C566" s="58" t="str">
        <f t="shared" si="19"/>
        <v/>
      </c>
      <c r="D566" s="113"/>
      <c r="E566" s="114"/>
      <c r="F566" s="114"/>
      <c r="G566" s="114"/>
      <c r="H566" s="114"/>
      <c r="I566" s="114"/>
      <c r="J566" s="313"/>
      <c r="K566" s="314"/>
      <c r="L566" s="314"/>
      <c r="M566" s="315"/>
      <c r="N566" s="138"/>
      <c r="O566" s="26">
        <f t="shared" si="18"/>
        <v>0</v>
      </c>
      <c r="AA566" s="54"/>
      <c r="AB566" s="54"/>
      <c r="AC566" s="54"/>
      <c r="AD566" s="54"/>
      <c r="AE566" s="54"/>
      <c r="AF566" s="54"/>
    </row>
    <row r="567" spans="3:32" ht="15" hidden="1" customHeight="1" x14ac:dyDescent="0.2">
      <c r="C567" s="58" t="str">
        <f t="shared" si="19"/>
        <v/>
      </c>
      <c r="D567" s="113"/>
      <c r="E567" s="114"/>
      <c r="F567" s="114"/>
      <c r="G567" s="114"/>
      <c r="H567" s="114"/>
      <c r="I567" s="114"/>
      <c r="J567" s="313"/>
      <c r="K567" s="314"/>
      <c r="L567" s="314"/>
      <c r="M567" s="315"/>
      <c r="N567" s="138"/>
      <c r="O567" s="26">
        <f t="shared" si="18"/>
        <v>0</v>
      </c>
      <c r="AA567" s="54"/>
      <c r="AB567" s="54"/>
      <c r="AC567" s="54"/>
      <c r="AD567" s="54"/>
      <c r="AE567" s="54"/>
      <c r="AF567" s="54"/>
    </row>
    <row r="568" spans="3:32" ht="15" hidden="1" customHeight="1" x14ac:dyDescent="0.2">
      <c r="C568" s="58" t="str">
        <f t="shared" si="19"/>
        <v/>
      </c>
      <c r="D568" s="113"/>
      <c r="E568" s="114"/>
      <c r="F568" s="114"/>
      <c r="G568" s="114"/>
      <c r="H568" s="114"/>
      <c r="I568" s="114"/>
      <c r="J568" s="313"/>
      <c r="K568" s="314"/>
      <c r="L568" s="314"/>
      <c r="M568" s="315"/>
      <c r="N568" s="138"/>
      <c r="O568" s="26">
        <f t="shared" si="18"/>
        <v>0</v>
      </c>
      <c r="AA568" s="54"/>
      <c r="AB568" s="54"/>
      <c r="AC568" s="54"/>
      <c r="AD568" s="54"/>
      <c r="AE568" s="54"/>
      <c r="AF568" s="54"/>
    </row>
    <row r="569" spans="3:32" ht="15" hidden="1" customHeight="1" x14ac:dyDescent="0.2">
      <c r="C569" s="58" t="str">
        <f t="shared" si="19"/>
        <v/>
      </c>
      <c r="D569" s="113"/>
      <c r="E569" s="114"/>
      <c r="F569" s="114"/>
      <c r="G569" s="114"/>
      <c r="H569" s="114"/>
      <c r="I569" s="114"/>
      <c r="J569" s="313"/>
      <c r="K569" s="314"/>
      <c r="L569" s="314"/>
      <c r="M569" s="315"/>
      <c r="N569" s="138"/>
      <c r="O569" s="26">
        <f t="shared" si="18"/>
        <v>0</v>
      </c>
      <c r="AA569" s="54"/>
      <c r="AB569" s="54"/>
      <c r="AC569" s="54"/>
      <c r="AD569" s="54"/>
      <c r="AE569" s="54"/>
      <c r="AF569" s="54"/>
    </row>
    <row r="570" spans="3:32" ht="15" hidden="1" customHeight="1" x14ac:dyDescent="0.2">
      <c r="C570" s="58" t="str">
        <f t="shared" si="19"/>
        <v/>
      </c>
      <c r="D570" s="113"/>
      <c r="E570" s="114"/>
      <c r="F570" s="114"/>
      <c r="G570" s="114"/>
      <c r="H570" s="114"/>
      <c r="I570" s="114"/>
      <c r="J570" s="313"/>
      <c r="K570" s="314"/>
      <c r="L570" s="314"/>
      <c r="M570" s="315"/>
      <c r="N570" s="138"/>
      <c r="O570" s="26">
        <f t="shared" si="18"/>
        <v>0</v>
      </c>
      <c r="AA570" s="54"/>
      <c r="AB570" s="54"/>
      <c r="AC570" s="54"/>
      <c r="AD570" s="54"/>
      <c r="AE570" s="54"/>
      <c r="AF570" s="54"/>
    </row>
    <row r="571" spans="3:32" ht="15" hidden="1" customHeight="1" x14ac:dyDescent="0.2">
      <c r="C571" s="58" t="str">
        <f t="shared" si="19"/>
        <v/>
      </c>
      <c r="D571" s="113"/>
      <c r="E571" s="114"/>
      <c r="F571" s="114"/>
      <c r="G571" s="114"/>
      <c r="H571" s="114"/>
      <c r="I571" s="114"/>
      <c r="J571" s="313"/>
      <c r="K571" s="314"/>
      <c r="L571" s="314"/>
      <c r="M571" s="315"/>
      <c r="N571" s="138"/>
      <c r="O571" s="26">
        <f t="shared" si="18"/>
        <v>0</v>
      </c>
      <c r="AA571" s="54"/>
      <c r="AB571" s="54"/>
      <c r="AC571" s="54"/>
      <c r="AD571" s="54"/>
      <c r="AE571" s="54"/>
      <c r="AF571" s="54"/>
    </row>
    <row r="572" spans="3:32" ht="15" hidden="1" customHeight="1" x14ac:dyDescent="0.2">
      <c r="C572" s="58" t="str">
        <f t="shared" si="19"/>
        <v/>
      </c>
      <c r="D572" s="113"/>
      <c r="E572" s="114"/>
      <c r="F572" s="114"/>
      <c r="G572" s="114"/>
      <c r="H572" s="114"/>
      <c r="I572" s="114"/>
      <c r="J572" s="313"/>
      <c r="K572" s="314"/>
      <c r="L572" s="314"/>
      <c r="M572" s="315"/>
      <c r="N572" s="138"/>
      <c r="O572" s="26">
        <f t="shared" si="18"/>
        <v>0</v>
      </c>
      <c r="AA572" s="54"/>
      <c r="AB572" s="54"/>
      <c r="AC572" s="54"/>
      <c r="AD572" s="54"/>
      <c r="AE572" s="54"/>
      <c r="AF572" s="54"/>
    </row>
    <row r="573" spans="3:32" ht="15" hidden="1" customHeight="1" x14ac:dyDescent="0.2">
      <c r="C573" s="58" t="str">
        <f t="shared" si="19"/>
        <v/>
      </c>
      <c r="D573" s="113"/>
      <c r="E573" s="114"/>
      <c r="F573" s="114"/>
      <c r="G573" s="114"/>
      <c r="H573" s="114"/>
      <c r="I573" s="114"/>
      <c r="J573" s="313"/>
      <c r="K573" s="314"/>
      <c r="L573" s="314"/>
      <c r="M573" s="315"/>
      <c r="N573" s="138"/>
      <c r="O573" s="26">
        <f t="shared" si="18"/>
        <v>0</v>
      </c>
      <c r="AA573" s="54"/>
      <c r="AB573" s="54"/>
      <c r="AC573" s="54"/>
      <c r="AD573" s="54"/>
      <c r="AE573" s="54"/>
      <c r="AF573" s="54"/>
    </row>
    <row r="574" spans="3:32" ht="15" hidden="1" customHeight="1" x14ac:dyDescent="0.2">
      <c r="C574" s="58" t="str">
        <f t="shared" si="19"/>
        <v/>
      </c>
      <c r="D574" s="113"/>
      <c r="E574" s="114"/>
      <c r="F574" s="114"/>
      <c r="G574" s="114"/>
      <c r="H574" s="114"/>
      <c r="I574" s="114"/>
      <c r="J574" s="313"/>
      <c r="K574" s="314"/>
      <c r="L574" s="314"/>
      <c r="M574" s="315"/>
      <c r="N574" s="138"/>
      <c r="O574" s="26">
        <f t="shared" si="18"/>
        <v>0</v>
      </c>
      <c r="AA574" s="54"/>
      <c r="AB574" s="54"/>
      <c r="AC574" s="54"/>
      <c r="AD574" s="54"/>
      <c r="AE574" s="54"/>
      <c r="AF574" s="54"/>
    </row>
    <row r="575" spans="3:32" ht="15" hidden="1" customHeight="1" x14ac:dyDescent="0.2">
      <c r="C575" s="58" t="str">
        <f t="shared" si="19"/>
        <v/>
      </c>
      <c r="D575" s="113"/>
      <c r="E575" s="114"/>
      <c r="F575" s="114"/>
      <c r="G575" s="114"/>
      <c r="H575" s="114"/>
      <c r="I575" s="114"/>
      <c r="J575" s="313"/>
      <c r="K575" s="314"/>
      <c r="L575" s="314"/>
      <c r="M575" s="315"/>
      <c r="N575" s="138"/>
      <c r="O575" s="26">
        <f t="shared" si="18"/>
        <v>0</v>
      </c>
      <c r="AA575" s="54"/>
      <c r="AB575" s="54"/>
      <c r="AC575" s="54"/>
      <c r="AD575" s="54"/>
      <c r="AE575" s="54"/>
      <c r="AF575" s="54"/>
    </row>
    <row r="576" spans="3:32" ht="15" hidden="1" customHeight="1" x14ac:dyDescent="0.2">
      <c r="C576" s="58" t="str">
        <f t="shared" si="19"/>
        <v/>
      </c>
      <c r="D576" s="113"/>
      <c r="E576" s="114"/>
      <c r="F576" s="114"/>
      <c r="G576" s="114"/>
      <c r="H576" s="114"/>
      <c r="I576" s="114"/>
      <c r="J576" s="313"/>
      <c r="K576" s="314"/>
      <c r="L576" s="314"/>
      <c r="M576" s="315"/>
      <c r="N576" s="138"/>
      <c r="O576" s="26">
        <f t="shared" si="18"/>
        <v>0</v>
      </c>
      <c r="AA576" s="54"/>
      <c r="AB576" s="54"/>
      <c r="AC576" s="54"/>
      <c r="AD576" s="54"/>
      <c r="AE576" s="54"/>
      <c r="AF576" s="54"/>
    </row>
    <row r="577" spans="1:32" ht="15" hidden="1" customHeight="1" x14ac:dyDescent="0.2">
      <c r="C577" s="58" t="str">
        <f t="shared" si="19"/>
        <v/>
      </c>
      <c r="D577" s="113"/>
      <c r="E577" s="114"/>
      <c r="F577" s="114"/>
      <c r="G577" s="114"/>
      <c r="H577" s="114"/>
      <c r="I577" s="114"/>
      <c r="J577" s="313"/>
      <c r="K577" s="314"/>
      <c r="L577" s="314"/>
      <c r="M577" s="315"/>
      <c r="N577" s="138"/>
      <c r="O577" s="26">
        <f t="shared" si="18"/>
        <v>0</v>
      </c>
      <c r="AA577" s="54"/>
      <c r="AB577" s="54"/>
      <c r="AC577" s="54"/>
      <c r="AD577" s="54"/>
      <c r="AE577" s="54"/>
      <c r="AF577" s="54"/>
    </row>
    <row r="578" spans="1:32" ht="15" hidden="1" customHeight="1" x14ac:dyDescent="0.2">
      <c r="C578" s="58" t="str">
        <f t="shared" si="19"/>
        <v/>
      </c>
      <c r="D578" s="113"/>
      <c r="E578" s="114"/>
      <c r="F578" s="114"/>
      <c r="G578" s="114"/>
      <c r="H578" s="114"/>
      <c r="I578" s="114"/>
      <c r="J578" s="313"/>
      <c r="K578" s="314"/>
      <c r="L578" s="314"/>
      <c r="M578" s="315"/>
      <c r="N578" s="138"/>
      <c r="O578" s="26">
        <f t="shared" si="18"/>
        <v>0</v>
      </c>
      <c r="AA578" s="54"/>
      <c r="AB578" s="54"/>
      <c r="AC578" s="54"/>
      <c r="AD578" s="54"/>
      <c r="AE578" s="54"/>
      <c r="AF578" s="54"/>
    </row>
    <row r="579" spans="1:32" ht="15" hidden="1" customHeight="1" x14ac:dyDescent="0.2">
      <c r="C579" s="58" t="str">
        <f t="shared" si="19"/>
        <v/>
      </c>
      <c r="D579" s="113"/>
      <c r="E579" s="114"/>
      <c r="F579" s="114"/>
      <c r="G579" s="114"/>
      <c r="H579" s="114"/>
      <c r="I579" s="114"/>
      <c r="J579" s="313"/>
      <c r="K579" s="314"/>
      <c r="L579" s="314"/>
      <c r="M579" s="315"/>
      <c r="N579" s="138"/>
      <c r="O579" s="26">
        <f t="shared" si="18"/>
        <v>0</v>
      </c>
      <c r="AA579" s="54"/>
      <c r="AB579" s="54"/>
      <c r="AC579" s="54"/>
      <c r="AD579" s="54"/>
      <c r="AE579" s="54"/>
      <c r="AF579" s="54"/>
    </row>
    <row r="580" spans="1:32" ht="15" hidden="1" customHeight="1" x14ac:dyDescent="0.2">
      <c r="C580" s="58" t="str">
        <f t="shared" si="19"/>
        <v/>
      </c>
      <c r="D580" s="113"/>
      <c r="E580" s="114"/>
      <c r="F580" s="114"/>
      <c r="G580" s="114"/>
      <c r="H580" s="114"/>
      <c r="I580" s="114"/>
      <c r="J580" s="313"/>
      <c r="K580" s="314"/>
      <c r="L580" s="314"/>
      <c r="M580" s="315"/>
      <c r="N580" s="138"/>
      <c r="O580" s="26">
        <f t="shared" si="18"/>
        <v>0</v>
      </c>
      <c r="AA580" s="54"/>
      <c r="AB580" s="54"/>
      <c r="AC580" s="54"/>
      <c r="AD580" s="54"/>
      <c r="AE580" s="54"/>
      <c r="AF580" s="54"/>
    </row>
    <row r="581" spans="1:32" ht="15" hidden="1" customHeight="1" x14ac:dyDescent="0.2">
      <c r="C581" s="58" t="str">
        <f t="shared" si="19"/>
        <v/>
      </c>
      <c r="D581" s="113"/>
      <c r="E581" s="114"/>
      <c r="F581" s="114"/>
      <c r="G581" s="114"/>
      <c r="H581" s="114"/>
      <c r="I581" s="114"/>
      <c r="J581" s="313"/>
      <c r="K581" s="314"/>
      <c r="L581" s="314"/>
      <c r="M581" s="315"/>
      <c r="N581" s="138"/>
      <c r="O581" s="26">
        <f t="shared" si="18"/>
        <v>0</v>
      </c>
      <c r="AA581" s="54"/>
      <c r="AB581" s="54"/>
      <c r="AC581" s="54"/>
      <c r="AD581" s="54"/>
      <c r="AE581" s="54"/>
      <c r="AF581" s="54"/>
    </row>
    <row r="582" spans="1:32" ht="15" hidden="1" customHeight="1" x14ac:dyDescent="0.2">
      <c r="C582" s="58" t="str">
        <f t="shared" si="19"/>
        <v/>
      </c>
      <c r="D582" s="113"/>
      <c r="E582" s="114"/>
      <c r="F582" s="114"/>
      <c r="G582" s="114"/>
      <c r="H582" s="114"/>
      <c r="I582" s="114"/>
      <c r="J582" s="313"/>
      <c r="K582" s="314"/>
      <c r="L582" s="314"/>
      <c r="M582" s="315"/>
      <c r="N582" s="138"/>
      <c r="O582" s="26">
        <f t="shared" si="18"/>
        <v>0</v>
      </c>
      <c r="AA582" s="54"/>
      <c r="AB582" s="54"/>
      <c r="AC582" s="54"/>
      <c r="AD582" s="54"/>
      <c r="AE582" s="54"/>
      <c r="AF582" s="54"/>
    </row>
    <row r="583" spans="1:32" ht="15" hidden="1" customHeight="1" x14ac:dyDescent="0.2">
      <c r="C583" s="58" t="str">
        <f t="shared" si="19"/>
        <v/>
      </c>
      <c r="D583" s="113"/>
      <c r="E583" s="114"/>
      <c r="F583" s="114"/>
      <c r="G583" s="114"/>
      <c r="H583" s="114"/>
      <c r="I583" s="114"/>
      <c r="J583" s="313"/>
      <c r="K583" s="314"/>
      <c r="L583" s="314"/>
      <c r="M583" s="315"/>
      <c r="N583" s="138"/>
      <c r="O583" s="26">
        <f t="shared" si="18"/>
        <v>0</v>
      </c>
      <c r="AA583" s="54"/>
      <c r="AB583" s="54"/>
      <c r="AC583" s="54"/>
      <c r="AD583" s="54"/>
      <c r="AE583" s="54"/>
      <c r="AF583" s="54"/>
    </row>
    <row r="584" spans="1:32" ht="15" hidden="1" customHeight="1" x14ac:dyDescent="0.2">
      <c r="C584" s="58" t="str">
        <f t="shared" si="19"/>
        <v/>
      </c>
      <c r="D584" s="113"/>
      <c r="E584" s="114"/>
      <c r="F584" s="114"/>
      <c r="G584" s="114"/>
      <c r="H584" s="114"/>
      <c r="I584" s="114"/>
      <c r="J584" s="313"/>
      <c r="K584" s="314"/>
      <c r="L584" s="314"/>
      <c r="M584" s="315"/>
      <c r="N584" s="138"/>
      <c r="O584" s="26">
        <f t="shared" si="18"/>
        <v>0</v>
      </c>
      <c r="AA584" s="54"/>
      <c r="AB584" s="54"/>
      <c r="AC584" s="54"/>
      <c r="AD584" s="54"/>
      <c r="AE584" s="54"/>
      <c r="AF584" s="54"/>
    </row>
    <row r="585" spans="1:32" ht="15" hidden="1" customHeight="1" x14ac:dyDescent="0.2">
      <c r="A585" s="28" t="s">
        <v>159</v>
      </c>
      <c r="C585" s="285"/>
      <c r="D585" s="285"/>
      <c r="E585" s="285"/>
      <c r="F585" s="285"/>
      <c r="G585" s="285"/>
      <c r="H585" s="285"/>
      <c r="I585" s="285"/>
      <c r="J585" s="285"/>
      <c r="K585" s="285"/>
      <c r="L585" s="285"/>
      <c r="M585" s="285"/>
      <c r="N585" s="138"/>
      <c r="AA585" s="54"/>
      <c r="AB585" s="54"/>
      <c r="AC585" s="54"/>
      <c r="AD585" s="54"/>
      <c r="AE585" s="54"/>
      <c r="AF585" s="54"/>
    </row>
    <row r="586" spans="1:32" ht="15" hidden="1" customHeight="1" x14ac:dyDescent="0.2">
      <c r="A586" s="28" t="s">
        <v>282</v>
      </c>
      <c r="C586" s="20" t="s">
        <v>125</v>
      </c>
      <c r="D586" s="286"/>
      <c r="E586" s="287"/>
      <c r="F586" s="287"/>
      <c r="G586" s="287"/>
      <c r="H586" s="287"/>
      <c r="I586" s="287"/>
      <c r="J586" s="287"/>
      <c r="K586" s="287"/>
      <c r="L586" s="287"/>
      <c r="M586" s="288"/>
      <c r="N586" s="138"/>
      <c r="AA586" s="54"/>
      <c r="AB586" s="54"/>
      <c r="AC586" s="54"/>
      <c r="AD586" s="54"/>
      <c r="AE586" s="54"/>
      <c r="AF586" s="54"/>
    </row>
    <row r="587" spans="1:32" ht="15" hidden="1" customHeight="1" x14ac:dyDescent="0.2">
      <c r="C587" s="295"/>
      <c r="D587" s="289"/>
      <c r="E587" s="290"/>
      <c r="F587" s="290"/>
      <c r="G587" s="290"/>
      <c r="H587" s="290"/>
      <c r="I587" s="290"/>
      <c r="J587" s="290"/>
      <c r="K587" s="290"/>
      <c r="L587" s="290"/>
      <c r="M587" s="291"/>
      <c r="N587" s="138"/>
      <c r="AA587" s="54"/>
      <c r="AB587" s="54"/>
      <c r="AC587" s="54"/>
      <c r="AD587" s="54"/>
      <c r="AE587" s="54"/>
      <c r="AF587" s="54"/>
    </row>
    <row r="588" spans="1:32" ht="15" hidden="1" customHeight="1" x14ac:dyDescent="0.2">
      <c r="A588" s="28" t="s">
        <v>298</v>
      </c>
      <c r="C588" s="295"/>
      <c r="D588" s="289"/>
      <c r="E588" s="290"/>
      <c r="F588" s="290"/>
      <c r="G588" s="290"/>
      <c r="H588" s="290"/>
      <c r="I588" s="290"/>
      <c r="J588" s="290"/>
      <c r="K588" s="290"/>
      <c r="L588" s="290"/>
      <c r="M588" s="291"/>
      <c r="N588" s="138"/>
      <c r="AA588" s="54"/>
      <c r="AB588" s="54"/>
      <c r="AC588" s="54"/>
      <c r="AD588" s="54"/>
      <c r="AE588" s="54"/>
      <c r="AF588" s="54"/>
    </row>
    <row r="589" spans="1:32" ht="15" hidden="1" customHeight="1" x14ac:dyDescent="0.2">
      <c r="A589" s="28" t="s">
        <v>46</v>
      </c>
      <c r="C589" s="295"/>
      <c r="D589" s="289"/>
      <c r="E589" s="290"/>
      <c r="F589" s="290"/>
      <c r="G589" s="290"/>
      <c r="H589" s="290"/>
      <c r="I589" s="290"/>
      <c r="J589" s="290"/>
      <c r="K589" s="290"/>
      <c r="L589" s="290"/>
      <c r="M589" s="291"/>
      <c r="N589" s="138"/>
      <c r="AA589" s="54"/>
      <c r="AB589" s="54"/>
      <c r="AC589" s="54"/>
      <c r="AD589" s="54"/>
      <c r="AE589" s="54"/>
      <c r="AF589" s="54"/>
    </row>
    <row r="590" spans="1:32" ht="15" hidden="1" customHeight="1" x14ac:dyDescent="0.2">
      <c r="C590" s="295"/>
      <c r="D590" s="292"/>
      <c r="E590" s="293"/>
      <c r="F590" s="293"/>
      <c r="G590" s="293"/>
      <c r="H590" s="293"/>
      <c r="I590" s="293"/>
      <c r="J590" s="293"/>
      <c r="K590" s="293"/>
      <c r="L590" s="293"/>
      <c r="M590" s="294"/>
      <c r="N590" s="138"/>
      <c r="AA590" s="54"/>
      <c r="AB590" s="54"/>
      <c r="AC590" s="54"/>
      <c r="AD590" s="54"/>
      <c r="AE590" s="54"/>
      <c r="AF590" s="54"/>
    </row>
    <row r="591" spans="1:32" ht="15" hidden="1" customHeight="1" thickBot="1" x14ac:dyDescent="0.25">
      <c r="C591" s="296"/>
      <c r="D591" s="296"/>
      <c r="E591" s="296"/>
      <c r="F591" s="296"/>
      <c r="G591" s="296"/>
      <c r="H591" s="296"/>
      <c r="I591" s="296"/>
      <c r="J591" s="296"/>
      <c r="K591" s="296"/>
      <c r="L591" s="296"/>
      <c r="M591" s="296"/>
      <c r="N591" s="138"/>
      <c r="AA591" s="54"/>
      <c r="AB591" s="54"/>
      <c r="AC591" s="54"/>
      <c r="AD591" s="54"/>
      <c r="AE591" s="54"/>
      <c r="AF591" s="54"/>
    </row>
    <row r="592" spans="1:32" ht="15" hidden="1" customHeight="1" thickBot="1" x14ac:dyDescent="0.25">
      <c r="C592" s="332"/>
      <c r="D592" s="332"/>
      <c r="E592" s="332"/>
      <c r="F592" s="332"/>
      <c r="G592" s="332"/>
      <c r="H592" s="332"/>
      <c r="I592" s="332"/>
      <c r="J592" s="332"/>
      <c r="K592" s="332"/>
      <c r="L592" s="332"/>
      <c r="M592" s="332"/>
      <c r="N592" s="138"/>
      <c r="O592" s="29"/>
      <c r="P592" s="29"/>
      <c r="Q592" s="29"/>
      <c r="R592" s="29"/>
      <c r="S592" s="29"/>
      <c r="T592" s="29"/>
      <c r="U592" s="29"/>
      <c r="V592" s="29"/>
      <c r="W592" s="29"/>
      <c r="X592" s="29"/>
      <c r="Y592" s="29"/>
      <c r="Z592" s="29"/>
      <c r="AA592" s="54"/>
    </row>
    <row r="593" spans="1:32" ht="16.5" customHeight="1" thickBot="1" x14ac:dyDescent="0.25">
      <c r="A593" s="134" t="b">
        <v>0</v>
      </c>
      <c r="C593" s="304" t="s">
        <v>323</v>
      </c>
      <c r="D593" s="304"/>
      <c r="E593" s="304"/>
      <c r="F593" s="243"/>
      <c r="G593" s="243"/>
      <c r="H593" s="243"/>
      <c r="I593" s="243"/>
      <c r="J593" s="243"/>
      <c r="K593" s="243"/>
      <c r="L593" s="243"/>
      <c r="M593" s="243"/>
      <c r="N593" s="138"/>
      <c r="O593" s="102">
        <f>SUM(O597:O622)</f>
        <v>0</v>
      </c>
      <c r="P593" s="29"/>
      <c r="Q593" s="29"/>
      <c r="R593" s="29"/>
      <c r="S593" s="29"/>
      <c r="T593" s="29"/>
      <c r="U593" s="29"/>
      <c r="V593" s="29"/>
      <c r="W593" s="29"/>
      <c r="X593" s="29"/>
      <c r="Y593" s="29"/>
      <c r="Z593" s="29"/>
      <c r="AA593" s="45"/>
      <c r="AB593" s="54">
        <f>ROW()</f>
        <v>593</v>
      </c>
      <c r="AC593" s="54">
        <v>5</v>
      </c>
      <c r="AD593" s="54">
        <f>AB593+43</f>
        <v>636</v>
      </c>
      <c r="AE593" s="54">
        <f>AB593+1</f>
        <v>594</v>
      </c>
      <c r="AF593" s="54">
        <f>AB593+50</f>
        <v>643</v>
      </c>
    </row>
    <row r="594" spans="1:32" ht="15" hidden="1" customHeight="1" x14ac:dyDescent="0.2">
      <c r="C594" s="155"/>
      <c r="D594" s="155"/>
      <c r="E594" s="155"/>
      <c r="F594" s="155"/>
      <c r="G594" s="155"/>
      <c r="H594" s="155"/>
      <c r="I594" s="155"/>
      <c r="J594" s="155"/>
      <c r="K594" s="155"/>
      <c r="L594" s="155"/>
      <c r="M594" s="155"/>
      <c r="N594" s="136" t="str">
        <f>IF(COUNTA(D595:K597,L597,D638)=0,"XXX","")</f>
        <v>XXX</v>
      </c>
      <c r="O594" s="102"/>
    </row>
    <row r="595" spans="1:32" ht="15" hidden="1" customHeight="1" x14ac:dyDescent="0.2">
      <c r="C595" s="163" t="s">
        <v>161</v>
      </c>
      <c r="D595" s="305"/>
      <c r="E595" s="306"/>
      <c r="F595" s="309"/>
      <c r="G595" s="309"/>
      <c r="H595" s="305"/>
      <c r="I595" s="305"/>
      <c r="J595" s="311"/>
      <c r="K595" s="306"/>
      <c r="L595" s="300" t="s">
        <v>45</v>
      </c>
      <c r="M595" s="301"/>
      <c r="N595" s="138"/>
      <c r="O595" s="102"/>
    </row>
    <row r="596" spans="1:32" ht="15" hidden="1" customHeight="1" x14ac:dyDescent="0.2">
      <c r="C596" s="164"/>
      <c r="D596" s="307"/>
      <c r="E596" s="308"/>
      <c r="F596" s="310"/>
      <c r="G596" s="310"/>
      <c r="H596" s="307"/>
      <c r="I596" s="307"/>
      <c r="J596" s="312"/>
      <c r="K596" s="308"/>
      <c r="L596" s="302"/>
      <c r="M596" s="303"/>
      <c r="N596" s="138"/>
      <c r="O596" s="102"/>
    </row>
    <row r="597" spans="1:32" ht="15" hidden="1" customHeight="1" x14ac:dyDescent="0.2">
      <c r="C597" s="58" t="str">
        <f>IF(O597&gt;0,1,"")</f>
        <v/>
      </c>
      <c r="D597" s="297"/>
      <c r="E597" s="298"/>
      <c r="F597" s="112"/>
      <c r="G597" s="112"/>
      <c r="H597" s="112"/>
      <c r="I597" s="297"/>
      <c r="J597" s="299"/>
      <c r="K597" s="298"/>
      <c r="L597" s="297"/>
      <c r="M597" s="298"/>
      <c r="N597" s="138"/>
      <c r="O597" s="132">
        <f t="shared" ref="O597:O636" si="20">IF(COUNTA(D597:M597)=0,0,1)</f>
        <v>0</v>
      </c>
    </row>
    <row r="598" spans="1:32" ht="15" hidden="1" customHeight="1" x14ac:dyDescent="0.2">
      <c r="C598" s="58" t="str">
        <f t="shared" ref="C598:C636" si="21">IF(O598&gt;0,1+C597,"")</f>
        <v/>
      </c>
      <c r="D598" s="297"/>
      <c r="E598" s="298"/>
      <c r="F598" s="112"/>
      <c r="G598" s="112"/>
      <c r="H598" s="112"/>
      <c r="I598" s="297"/>
      <c r="J598" s="299"/>
      <c r="K598" s="298"/>
      <c r="L598" s="297"/>
      <c r="M598" s="298"/>
      <c r="N598" s="138"/>
      <c r="O598" s="132">
        <f t="shared" si="20"/>
        <v>0</v>
      </c>
    </row>
    <row r="599" spans="1:32" ht="15" hidden="1" customHeight="1" x14ac:dyDescent="0.2">
      <c r="C599" s="58" t="str">
        <f t="shared" si="21"/>
        <v/>
      </c>
      <c r="D599" s="297"/>
      <c r="E599" s="298"/>
      <c r="F599" s="112"/>
      <c r="G599" s="112"/>
      <c r="H599" s="112"/>
      <c r="I599" s="297"/>
      <c r="J599" s="299"/>
      <c r="K599" s="298"/>
      <c r="L599" s="297"/>
      <c r="M599" s="298"/>
      <c r="N599" s="138"/>
      <c r="O599" s="132">
        <f t="shared" si="20"/>
        <v>0</v>
      </c>
    </row>
    <row r="600" spans="1:32" ht="15" hidden="1" customHeight="1" x14ac:dyDescent="0.2">
      <c r="C600" s="58" t="str">
        <f t="shared" si="21"/>
        <v/>
      </c>
      <c r="D600" s="297"/>
      <c r="E600" s="298"/>
      <c r="F600" s="112"/>
      <c r="G600" s="112"/>
      <c r="H600" s="112"/>
      <c r="I600" s="297"/>
      <c r="J600" s="299"/>
      <c r="K600" s="298"/>
      <c r="L600" s="297"/>
      <c r="M600" s="298"/>
      <c r="N600" s="138"/>
      <c r="O600" s="132">
        <f t="shared" si="20"/>
        <v>0</v>
      </c>
    </row>
    <row r="601" spans="1:32" ht="15" hidden="1" customHeight="1" x14ac:dyDescent="0.2">
      <c r="C601" s="58" t="str">
        <f t="shared" si="21"/>
        <v/>
      </c>
      <c r="D601" s="297"/>
      <c r="E601" s="298"/>
      <c r="F601" s="112"/>
      <c r="G601" s="112"/>
      <c r="H601" s="112"/>
      <c r="I601" s="297"/>
      <c r="J601" s="299"/>
      <c r="K601" s="298"/>
      <c r="L601" s="297"/>
      <c r="M601" s="298"/>
      <c r="N601" s="138"/>
      <c r="O601" s="132">
        <f t="shared" si="20"/>
        <v>0</v>
      </c>
    </row>
    <row r="602" spans="1:32" ht="15" hidden="1" customHeight="1" x14ac:dyDescent="0.2">
      <c r="C602" s="58" t="str">
        <f t="shared" si="21"/>
        <v/>
      </c>
      <c r="D602" s="297"/>
      <c r="E602" s="298"/>
      <c r="F602" s="112"/>
      <c r="G602" s="112"/>
      <c r="H602" s="112"/>
      <c r="I602" s="297"/>
      <c r="J602" s="299"/>
      <c r="K602" s="298"/>
      <c r="L602" s="297"/>
      <c r="M602" s="298"/>
      <c r="N602" s="138"/>
      <c r="O602" s="132">
        <f t="shared" si="20"/>
        <v>0</v>
      </c>
    </row>
    <row r="603" spans="1:32" ht="15" hidden="1" customHeight="1" x14ac:dyDescent="0.2">
      <c r="C603" s="58" t="str">
        <f t="shared" si="21"/>
        <v/>
      </c>
      <c r="D603" s="297"/>
      <c r="E603" s="298"/>
      <c r="F603" s="112"/>
      <c r="G603" s="112"/>
      <c r="H603" s="112"/>
      <c r="I603" s="297"/>
      <c r="J603" s="299"/>
      <c r="K603" s="298"/>
      <c r="L603" s="297"/>
      <c r="M603" s="298"/>
      <c r="N603" s="138"/>
      <c r="O603" s="132">
        <f t="shared" si="20"/>
        <v>0</v>
      </c>
    </row>
    <row r="604" spans="1:32" ht="15" hidden="1" customHeight="1" x14ac:dyDescent="0.2">
      <c r="C604" s="58" t="str">
        <f t="shared" si="21"/>
        <v/>
      </c>
      <c r="D604" s="297"/>
      <c r="E604" s="298"/>
      <c r="F604" s="112"/>
      <c r="G604" s="112"/>
      <c r="H604" s="112"/>
      <c r="I604" s="297"/>
      <c r="J604" s="299"/>
      <c r="K604" s="298"/>
      <c r="L604" s="297"/>
      <c r="M604" s="298"/>
      <c r="N604" s="138"/>
      <c r="O604" s="132">
        <f t="shared" si="20"/>
        <v>0</v>
      </c>
    </row>
    <row r="605" spans="1:32" ht="15" hidden="1" customHeight="1" x14ac:dyDescent="0.2">
      <c r="C605" s="58" t="str">
        <f t="shared" si="21"/>
        <v/>
      </c>
      <c r="D605" s="297"/>
      <c r="E605" s="298"/>
      <c r="F605" s="112"/>
      <c r="G605" s="112"/>
      <c r="H605" s="112"/>
      <c r="I605" s="297"/>
      <c r="J605" s="299"/>
      <c r="K605" s="298"/>
      <c r="L605" s="297"/>
      <c r="M605" s="298"/>
      <c r="N605" s="138"/>
      <c r="O605" s="132">
        <f t="shared" si="20"/>
        <v>0</v>
      </c>
    </row>
    <row r="606" spans="1:32" ht="15" hidden="1" customHeight="1" x14ac:dyDescent="0.2">
      <c r="C606" s="58" t="str">
        <f t="shared" si="21"/>
        <v/>
      </c>
      <c r="D606" s="297"/>
      <c r="E606" s="298"/>
      <c r="F606" s="112"/>
      <c r="G606" s="112"/>
      <c r="H606" s="112"/>
      <c r="I606" s="297"/>
      <c r="J606" s="299"/>
      <c r="K606" s="298"/>
      <c r="L606" s="297"/>
      <c r="M606" s="298"/>
      <c r="N606" s="138"/>
      <c r="O606" s="132">
        <f t="shared" si="20"/>
        <v>0</v>
      </c>
    </row>
    <row r="607" spans="1:32" ht="15" hidden="1" customHeight="1" x14ac:dyDescent="0.2">
      <c r="C607" s="58" t="str">
        <f t="shared" si="21"/>
        <v/>
      </c>
      <c r="D607" s="297"/>
      <c r="E607" s="298"/>
      <c r="F607" s="112"/>
      <c r="G607" s="112"/>
      <c r="H607" s="112"/>
      <c r="I607" s="297"/>
      <c r="J607" s="299"/>
      <c r="K607" s="298"/>
      <c r="L607" s="297"/>
      <c r="M607" s="298"/>
      <c r="N607" s="138"/>
      <c r="O607" s="132">
        <f t="shared" si="20"/>
        <v>0</v>
      </c>
    </row>
    <row r="608" spans="1:32" ht="15" hidden="1" customHeight="1" x14ac:dyDescent="0.2">
      <c r="C608" s="58" t="str">
        <f t="shared" si="21"/>
        <v/>
      </c>
      <c r="D608" s="297"/>
      <c r="E608" s="298"/>
      <c r="F608" s="112"/>
      <c r="G608" s="112"/>
      <c r="H608" s="112"/>
      <c r="I608" s="297"/>
      <c r="J608" s="299"/>
      <c r="K608" s="298"/>
      <c r="L608" s="297"/>
      <c r="M608" s="298"/>
      <c r="N608" s="138"/>
      <c r="O608" s="132">
        <f t="shared" si="20"/>
        <v>0</v>
      </c>
    </row>
    <row r="609" spans="3:15" ht="15" hidden="1" customHeight="1" x14ac:dyDescent="0.2">
      <c r="C609" s="58" t="str">
        <f t="shared" si="21"/>
        <v/>
      </c>
      <c r="D609" s="297"/>
      <c r="E609" s="298"/>
      <c r="F609" s="112"/>
      <c r="G609" s="112"/>
      <c r="H609" s="112"/>
      <c r="I609" s="297"/>
      <c r="J609" s="299"/>
      <c r="K609" s="298"/>
      <c r="L609" s="297"/>
      <c r="M609" s="298"/>
      <c r="N609" s="138"/>
      <c r="O609" s="132">
        <f t="shared" si="20"/>
        <v>0</v>
      </c>
    </row>
    <row r="610" spans="3:15" ht="15" hidden="1" customHeight="1" x14ac:dyDescent="0.2">
      <c r="C610" s="58" t="str">
        <f t="shared" si="21"/>
        <v/>
      </c>
      <c r="D610" s="297"/>
      <c r="E610" s="298"/>
      <c r="F610" s="112"/>
      <c r="G610" s="112"/>
      <c r="H610" s="112"/>
      <c r="I610" s="297"/>
      <c r="J610" s="299"/>
      <c r="K610" s="298"/>
      <c r="L610" s="297"/>
      <c r="M610" s="298"/>
      <c r="N610" s="138"/>
      <c r="O610" s="132">
        <f t="shared" si="20"/>
        <v>0</v>
      </c>
    </row>
    <row r="611" spans="3:15" ht="15" hidden="1" customHeight="1" x14ac:dyDescent="0.2">
      <c r="C611" s="58" t="str">
        <f t="shared" si="21"/>
        <v/>
      </c>
      <c r="D611" s="297"/>
      <c r="E611" s="298"/>
      <c r="F611" s="112"/>
      <c r="G611" s="112"/>
      <c r="H611" s="112"/>
      <c r="I611" s="297"/>
      <c r="J611" s="299"/>
      <c r="K611" s="298"/>
      <c r="L611" s="297"/>
      <c r="M611" s="298"/>
      <c r="N611" s="138"/>
      <c r="O611" s="132">
        <f t="shared" si="20"/>
        <v>0</v>
      </c>
    </row>
    <row r="612" spans="3:15" ht="15" hidden="1" customHeight="1" x14ac:dyDescent="0.2">
      <c r="C612" s="58" t="str">
        <f t="shared" si="21"/>
        <v/>
      </c>
      <c r="D612" s="297"/>
      <c r="E612" s="298"/>
      <c r="F612" s="112"/>
      <c r="G612" s="112"/>
      <c r="H612" s="112"/>
      <c r="I612" s="297"/>
      <c r="J612" s="299"/>
      <c r="K612" s="298"/>
      <c r="L612" s="297"/>
      <c r="M612" s="298"/>
      <c r="N612" s="138"/>
      <c r="O612" s="132">
        <f t="shared" si="20"/>
        <v>0</v>
      </c>
    </row>
    <row r="613" spans="3:15" ht="15" hidden="1" customHeight="1" x14ac:dyDescent="0.2">
      <c r="C613" s="58" t="str">
        <f t="shared" si="21"/>
        <v/>
      </c>
      <c r="D613" s="297"/>
      <c r="E613" s="298"/>
      <c r="F613" s="112"/>
      <c r="G613" s="112"/>
      <c r="H613" s="112"/>
      <c r="I613" s="297"/>
      <c r="J613" s="299"/>
      <c r="K613" s="298"/>
      <c r="L613" s="297"/>
      <c r="M613" s="298"/>
      <c r="N613" s="138"/>
      <c r="O613" s="132">
        <f t="shared" si="20"/>
        <v>0</v>
      </c>
    </row>
    <row r="614" spans="3:15" ht="15" hidden="1" customHeight="1" x14ac:dyDescent="0.2">
      <c r="C614" s="58" t="str">
        <f t="shared" si="21"/>
        <v/>
      </c>
      <c r="D614" s="297"/>
      <c r="E614" s="298"/>
      <c r="F614" s="112"/>
      <c r="G614" s="112"/>
      <c r="H614" s="112"/>
      <c r="I614" s="297"/>
      <c r="J614" s="299"/>
      <c r="K614" s="298"/>
      <c r="L614" s="297"/>
      <c r="M614" s="298"/>
      <c r="N614" s="138"/>
      <c r="O614" s="132">
        <f t="shared" si="20"/>
        <v>0</v>
      </c>
    </row>
    <row r="615" spans="3:15" ht="15" hidden="1" customHeight="1" x14ac:dyDescent="0.2">
      <c r="C615" s="58" t="str">
        <f t="shared" si="21"/>
        <v/>
      </c>
      <c r="D615" s="297"/>
      <c r="E615" s="298"/>
      <c r="F615" s="112"/>
      <c r="G615" s="112"/>
      <c r="H615" s="112"/>
      <c r="I615" s="297"/>
      <c r="J615" s="299"/>
      <c r="K615" s="298"/>
      <c r="L615" s="297"/>
      <c r="M615" s="298"/>
      <c r="N615" s="138"/>
      <c r="O615" s="132">
        <f t="shared" si="20"/>
        <v>0</v>
      </c>
    </row>
    <row r="616" spans="3:15" ht="15" hidden="1" customHeight="1" x14ac:dyDescent="0.2">
      <c r="C616" s="58" t="str">
        <f t="shared" si="21"/>
        <v/>
      </c>
      <c r="D616" s="297"/>
      <c r="E616" s="298"/>
      <c r="F616" s="112"/>
      <c r="G616" s="112"/>
      <c r="H616" s="112"/>
      <c r="I616" s="297"/>
      <c r="J616" s="299"/>
      <c r="K616" s="298"/>
      <c r="L616" s="297"/>
      <c r="M616" s="298"/>
      <c r="N616" s="138"/>
      <c r="O616" s="132">
        <f t="shared" si="20"/>
        <v>0</v>
      </c>
    </row>
    <row r="617" spans="3:15" ht="15" hidden="1" customHeight="1" x14ac:dyDescent="0.2">
      <c r="C617" s="58" t="str">
        <f t="shared" si="21"/>
        <v/>
      </c>
      <c r="D617" s="297"/>
      <c r="E617" s="298"/>
      <c r="F617" s="112"/>
      <c r="G617" s="112"/>
      <c r="H617" s="112"/>
      <c r="I617" s="297"/>
      <c r="J617" s="299"/>
      <c r="K617" s="298"/>
      <c r="L617" s="297"/>
      <c r="M617" s="298"/>
      <c r="N617" s="138"/>
      <c r="O617" s="132">
        <f t="shared" si="20"/>
        <v>0</v>
      </c>
    </row>
    <row r="618" spans="3:15" ht="15" hidden="1" customHeight="1" x14ac:dyDescent="0.2">
      <c r="C618" s="58" t="str">
        <f t="shared" si="21"/>
        <v/>
      </c>
      <c r="D618" s="297"/>
      <c r="E618" s="298"/>
      <c r="F618" s="112"/>
      <c r="G618" s="112"/>
      <c r="H618" s="112"/>
      <c r="I618" s="297"/>
      <c r="J618" s="299"/>
      <c r="K618" s="298"/>
      <c r="L618" s="297"/>
      <c r="M618" s="298"/>
      <c r="N618" s="138"/>
      <c r="O618" s="132">
        <f t="shared" si="20"/>
        <v>0</v>
      </c>
    </row>
    <row r="619" spans="3:15" ht="15" hidden="1" customHeight="1" x14ac:dyDescent="0.2">
      <c r="C619" s="58" t="str">
        <f t="shared" si="21"/>
        <v/>
      </c>
      <c r="D619" s="297"/>
      <c r="E619" s="298"/>
      <c r="F619" s="112"/>
      <c r="G619" s="112"/>
      <c r="H619" s="112"/>
      <c r="I619" s="297"/>
      <c r="J619" s="299"/>
      <c r="K619" s="298"/>
      <c r="L619" s="297"/>
      <c r="M619" s="298"/>
      <c r="N619" s="138"/>
      <c r="O619" s="132">
        <f t="shared" si="20"/>
        <v>0</v>
      </c>
    </row>
    <row r="620" spans="3:15" ht="15" hidden="1" customHeight="1" x14ac:dyDescent="0.2">
      <c r="C620" s="58" t="str">
        <f t="shared" si="21"/>
        <v/>
      </c>
      <c r="D620" s="297"/>
      <c r="E620" s="298"/>
      <c r="F620" s="112"/>
      <c r="G620" s="112"/>
      <c r="H620" s="112"/>
      <c r="I620" s="297"/>
      <c r="J620" s="299"/>
      <c r="K620" s="298"/>
      <c r="L620" s="297"/>
      <c r="M620" s="298"/>
      <c r="N620" s="138"/>
      <c r="O620" s="132">
        <f t="shared" si="20"/>
        <v>0</v>
      </c>
    </row>
    <row r="621" spans="3:15" ht="15" hidden="1" customHeight="1" x14ac:dyDescent="0.2">
      <c r="C621" s="58" t="str">
        <f t="shared" si="21"/>
        <v/>
      </c>
      <c r="D621" s="297"/>
      <c r="E621" s="298"/>
      <c r="F621" s="112"/>
      <c r="G621" s="112"/>
      <c r="H621" s="112"/>
      <c r="I621" s="297"/>
      <c r="J621" s="299"/>
      <c r="K621" s="298"/>
      <c r="L621" s="297"/>
      <c r="M621" s="298"/>
      <c r="N621" s="138"/>
      <c r="O621" s="132">
        <f t="shared" si="20"/>
        <v>0</v>
      </c>
    </row>
    <row r="622" spans="3:15" ht="15" hidden="1" customHeight="1" x14ac:dyDescent="0.2">
      <c r="C622" s="58" t="str">
        <f t="shared" si="21"/>
        <v/>
      </c>
      <c r="D622" s="297"/>
      <c r="E622" s="298"/>
      <c r="F622" s="112"/>
      <c r="G622" s="112"/>
      <c r="H622" s="112"/>
      <c r="I622" s="297"/>
      <c r="J622" s="299"/>
      <c r="K622" s="298"/>
      <c r="L622" s="297"/>
      <c r="M622" s="298"/>
      <c r="N622" s="138"/>
      <c r="O622" s="132">
        <f t="shared" si="20"/>
        <v>0</v>
      </c>
    </row>
    <row r="623" spans="3:15" ht="15" hidden="1" customHeight="1" x14ac:dyDescent="0.2">
      <c r="C623" s="58" t="str">
        <f t="shared" si="21"/>
        <v/>
      </c>
      <c r="D623" s="297"/>
      <c r="E623" s="298"/>
      <c r="F623" s="112"/>
      <c r="G623" s="112"/>
      <c r="H623" s="112"/>
      <c r="I623" s="297"/>
      <c r="J623" s="299"/>
      <c r="K623" s="298"/>
      <c r="L623" s="297"/>
      <c r="M623" s="298"/>
      <c r="N623" s="138"/>
      <c r="O623" s="132">
        <f t="shared" si="20"/>
        <v>0</v>
      </c>
    </row>
    <row r="624" spans="3:15" ht="15" hidden="1" customHeight="1" x14ac:dyDescent="0.2">
      <c r="C624" s="58" t="str">
        <f t="shared" si="21"/>
        <v/>
      </c>
      <c r="D624" s="297"/>
      <c r="E624" s="298"/>
      <c r="F624" s="112"/>
      <c r="G624" s="112"/>
      <c r="H624" s="112"/>
      <c r="I624" s="297"/>
      <c r="J624" s="299"/>
      <c r="K624" s="298"/>
      <c r="L624" s="297"/>
      <c r="M624" s="298"/>
      <c r="N624" s="138"/>
      <c r="O624" s="132">
        <f t="shared" si="20"/>
        <v>0</v>
      </c>
    </row>
    <row r="625" spans="3:15" ht="15" hidden="1" customHeight="1" x14ac:dyDescent="0.2">
      <c r="C625" s="58" t="str">
        <f t="shared" si="21"/>
        <v/>
      </c>
      <c r="D625" s="297"/>
      <c r="E625" s="298"/>
      <c r="F625" s="112"/>
      <c r="G625" s="112"/>
      <c r="H625" s="112"/>
      <c r="I625" s="297"/>
      <c r="J625" s="299"/>
      <c r="K625" s="298"/>
      <c r="L625" s="297"/>
      <c r="M625" s="298"/>
      <c r="N625" s="138"/>
      <c r="O625" s="132">
        <f t="shared" si="20"/>
        <v>0</v>
      </c>
    </row>
    <row r="626" spans="3:15" ht="15" hidden="1" customHeight="1" x14ac:dyDescent="0.2">
      <c r="C626" s="58" t="str">
        <f t="shared" si="21"/>
        <v/>
      </c>
      <c r="D626" s="297"/>
      <c r="E626" s="298"/>
      <c r="F626" s="112"/>
      <c r="G626" s="112"/>
      <c r="H626" s="112"/>
      <c r="I626" s="297"/>
      <c r="J626" s="299"/>
      <c r="K626" s="298"/>
      <c r="L626" s="297"/>
      <c r="M626" s="298"/>
      <c r="N626" s="138"/>
      <c r="O626" s="132">
        <f t="shared" si="20"/>
        <v>0</v>
      </c>
    </row>
    <row r="627" spans="3:15" ht="15" hidden="1" customHeight="1" x14ac:dyDescent="0.2">
      <c r="C627" s="58" t="str">
        <f t="shared" si="21"/>
        <v/>
      </c>
      <c r="D627" s="297"/>
      <c r="E627" s="298"/>
      <c r="F627" s="112"/>
      <c r="G627" s="112"/>
      <c r="H627" s="112"/>
      <c r="I627" s="297"/>
      <c r="J627" s="299"/>
      <c r="K627" s="298"/>
      <c r="L627" s="297"/>
      <c r="M627" s="298"/>
      <c r="N627" s="138"/>
      <c r="O627" s="132">
        <f t="shared" si="20"/>
        <v>0</v>
      </c>
    </row>
    <row r="628" spans="3:15" ht="15" hidden="1" customHeight="1" x14ac:dyDescent="0.2">
      <c r="C628" s="58" t="str">
        <f t="shared" si="21"/>
        <v/>
      </c>
      <c r="D628" s="297"/>
      <c r="E628" s="298"/>
      <c r="F628" s="112"/>
      <c r="G628" s="112"/>
      <c r="H628" s="112"/>
      <c r="I628" s="297"/>
      <c r="J628" s="299"/>
      <c r="K628" s="298"/>
      <c r="L628" s="297"/>
      <c r="M628" s="298"/>
      <c r="N628" s="138"/>
      <c r="O628" s="132">
        <f t="shared" si="20"/>
        <v>0</v>
      </c>
    </row>
    <row r="629" spans="3:15" ht="15" hidden="1" customHeight="1" x14ac:dyDescent="0.2">
      <c r="C629" s="58" t="str">
        <f t="shared" si="21"/>
        <v/>
      </c>
      <c r="D629" s="297"/>
      <c r="E629" s="298"/>
      <c r="F629" s="112"/>
      <c r="G629" s="112"/>
      <c r="H629" s="112"/>
      <c r="I629" s="297"/>
      <c r="J629" s="299"/>
      <c r="K629" s="298"/>
      <c r="L629" s="297"/>
      <c r="M629" s="298"/>
      <c r="N629" s="138"/>
      <c r="O629" s="132">
        <f t="shared" si="20"/>
        <v>0</v>
      </c>
    </row>
    <row r="630" spans="3:15" ht="15" hidden="1" customHeight="1" x14ac:dyDescent="0.2">
      <c r="C630" s="58" t="str">
        <f t="shared" si="21"/>
        <v/>
      </c>
      <c r="D630" s="297"/>
      <c r="E630" s="298"/>
      <c r="F630" s="112"/>
      <c r="G630" s="112"/>
      <c r="H630" s="112"/>
      <c r="I630" s="297"/>
      <c r="J630" s="299"/>
      <c r="K630" s="298"/>
      <c r="L630" s="297"/>
      <c r="M630" s="298"/>
      <c r="N630" s="138"/>
      <c r="O630" s="132">
        <f t="shared" si="20"/>
        <v>0</v>
      </c>
    </row>
    <row r="631" spans="3:15" ht="15" hidden="1" customHeight="1" x14ac:dyDescent="0.2">
      <c r="C631" s="58" t="str">
        <f t="shared" si="21"/>
        <v/>
      </c>
      <c r="D631" s="297"/>
      <c r="E631" s="298"/>
      <c r="F631" s="112"/>
      <c r="G631" s="112"/>
      <c r="H631" s="112"/>
      <c r="I631" s="297"/>
      <c r="J631" s="299"/>
      <c r="K631" s="298"/>
      <c r="L631" s="297"/>
      <c r="M631" s="298"/>
      <c r="N631" s="138"/>
      <c r="O631" s="132">
        <f t="shared" si="20"/>
        <v>0</v>
      </c>
    </row>
    <row r="632" spans="3:15" ht="15" hidden="1" customHeight="1" x14ac:dyDescent="0.2">
      <c r="C632" s="58" t="str">
        <f t="shared" si="21"/>
        <v/>
      </c>
      <c r="D632" s="297"/>
      <c r="E632" s="298"/>
      <c r="F632" s="112"/>
      <c r="G632" s="112"/>
      <c r="H632" s="112"/>
      <c r="I632" s="297"/>
      <c r="J632" s="299"/>
      <c r="K632" s="298"/>
      <c r="L632" s="297"/>
      <c r="M632" s="298"/>
      <c r="N632" s="138"/>
      <c r="O632" s="132">
        <f t="shared" si="20"/>
        <v>0</v>
      </c>
    </row>
    <row r="633" spans="3:15" ht="15" hidden="1" customHeight="1" x14ac:dyDescent="0.2">
      <c r="C633" s="58" t="str">
        <f t="shared" si="21"/>
        <v/>
      </c>
      <c r="D633" s="297"/>
      <c r="E633" s="298"/>
      <c r="F633" s="112"/>
      <c r="G633" s="112"/>
      <c r="H633" s="112"/>
      <c r="I633" s="297"/>
      <c r="J633" s="299"/>
      <c r="K633" s="298"/>
      <c r="L633" s="297"/>
      <c r="M633" s="298"/>
      <c r="N633" s="138"/>
      <c r="O633" s="132">
        <f t="shared" si="20"/>
        <v>0</v>
      </c>
    </row>
    <row r="634" spans="3:15" ht="15" hidden="1" customHeight="1" x14ac:dyDescent="0.2">
      <c r="C634" s="58" t="str">
        <f t="shared" si="21"/>
        <v/>
      </c>
      <c r="D634" s="297"/>
      <c r="E634" s="298"/>
      <c r="F634" s="112"/>
      <c r="G634" s="112"/>
      <c r="H634" s="112"/>
      <c r="I634" s="297"/>
      <c r="J634" s="299"/>
      <c r="K634" s="298"/>
      <c r="L634" s="297"/>
      <c r="M634" s="298"/>
      <c r="N634" s="138"/>
      <c r="O634" s="132">
        <f t="shared" si="20"/>
        <v>0</v>
      </c>
    </row>
    <row r="635" spans="3:15" ht="15" hidden="1" customHeight="1" x14ac:dyDescent="0.2">
      <c r="C635" s="58" t="str">
        <f t="shared" si="21"/>
        <v/>
      </c>
      <c r="D635" s="297"/>
      <c r="E635" s="298"/>
      <c r="F635" s="112"/>
      <c r="G635" s="112"/>
      <c r="H635" s="112"/>
      <c r="I635" s="297"/>
      <c r="J635" s="299"/>
      <c r="K635" s="298"/>
      <c r="L635" s="297"/>
      <c r="M635" s="298"/>
      <c r="N635" s="138"/>
      <c r="O635" s="132">
        <f t="shared" si="20"/>
        <v>0</v>
      </c>
    </row>
    <row r="636" spans="3:15" ht="15" hidden="1" customHeight="1" x14ac:dyDescent="0.2">
      <c r="C636" s="58" t="str">
        <f t="shared" si="21"/>
        <v/>
      </c>
      <c r="D636" s="297"/>
      <c r="E636" s="298"/>
      <c r="F636" s="112"/>
      <c r="G636" s="112"/>
      <c r="H636" s="112"/>
      <c r="I636" s="297"/>
      <c r="J636" s="299"/>
      <c r="K636" s="298"/>
      <c r="L636" s="297"/>
      <c r="M636" s="298"/>
      <c r="N636" s="138"/>
      <c r="O636" s="132">
        <f t="shared" si="20"/>
        <v>0</v>
      </c>
    </row>
    <row r="637" spans="3:15" ht="15" hidden="1" customHeight="1" x14ac:dyDescent="0.2">
      <c r="C637" s="285"/>
      <c r="D637" s="285"/>
      <c r="E637" s="285"/>
      <c r="F637" s="285"/>
      <c r="G637" s="285"/>
      <c r="H637" s="285"/>
      <c r="I637" s="285"/>
      <c r="J637" s="285"/>
      <c r="K637" s="285"/>
      <c r="L637" s="285"/>
      <c r="M637" s="285"/>
      <c r="N637" s="138"/>
    </row>
    <row r="638" spans="3:15" ht="15" hidden="1" customHeight="1" x14ac:dyDescent="0.2">
      <c r="C638" s="20"/>
      <c r="D638" s="286"/>
      <c r="E638" s="287"/>
      <c r="F638" s="287"/>
      <c r="G638" s="287"/>
      <c r="H638" s="287"/>
      <c r="I638" s="287"/>
      <c r="J638" s="287"/>
      <c r="K638" s="287"/>
      <c r="L638" s="287"/>
      <c r="M638" s="288"/>
      <c r="N638" s="138"/>
    </row>
    <row r="639" spans="3:15" ht="15" hidden="1" customHeight="1" x14ac:dyDescent="0.2">
      <c r="C639" s="295"/>
      <c r="D639" s="289"/>
      <c r="E639" s="290"/>
      <c r="F639" s="290"/>
      <c r="G639" s="290"/>
      <c r="H639" s="290"/>
      <c r="I639" s="290"/>
      <c r="J639" s="290"/>
      <c r="K639" s="290"/>
      <c r="L639" s="290"/>
      <c r="M639" s="291"/>
      <c r="N639" s="138"/>
    </row>
    <row r="640" spans="3:15" ht="15" hidden="1" customHeight="1" x14ac:dyDescent="0.2">
      <c r="C640" s="295"/>
      <c r="D640" s="289"/>
      <c r="E640" s="290"/>
      <c r="F640" s="290"/>
      <c r="G640" s="290"/>
      <c r="H640" s="290"/>
      <c r="I640" s="290"/>
      <c r="J640" s="290"/>
      <c r="K640" s="290"/>
      <c r="L640" s="290"/>
      <c r="M640" s="291"/>
      <c r="N640" s="138"/>
    </row>
    <row r="641" spans="1:14" ht="15" hidden="1" customHeight="1" x14ac:dyDescent="0.2">
      <c r="C641" s="295"/>
      <c r="D641" s="289"/>
      <c r="E641" s="290"/>
      <c r="F641" s="290"/>
      <c r="G641" s="290"/>
      <c r="H641" s="290"/>
      <c r="I641" s="290"/>
      <c r="J641" s="290"/>
      <c r="K641" s="290"/>
      <c r="L641" s="290"/>
      <c r="M641" s="291"/>
      <c r="N641" s="138"/>
    </row>
    <row r="642" spans="1:14" ht="15" hidden="1" customHeight="1" x14ac:dyDescent="0.2">
      <c r="C642" s="295"/>
      <c r="D642" s="292"/>
      <c r="E642" s="293"/>
      <c r="F642" s="293"/>
      <c r="G642" s="293"/>
      <c r="H642" s="293"/>
      <c r="I642" s="293"/>
      <c r="J642" s="293"/>
      <c r="K642" s="293"/>
      <c r="L642" s="293"/>
      <c r="M642" s="294"/>
      <c r="N642" s="138"/>
    </row>
    <row r="643" spans="1:14" ht="12" hidden="1" customHeight="1" thickBot="1" x14ac:dyDescent="0.25">
      <c r="C643" s="296"/>
      <c r="D643" s="296"/>
      <c r="E643" s="296"/>
      <c r="F643" s="296"/>
      <c r="G643" s="296"/>
      <c r="H643" s="296"/>
      <c r="I643" s="296"/>
      <c r="J643" s="296"/>
      <c r="K643" s="296"/>
      <c r="L643" s="296"/>
      <c r="M643" s="296"/>
      <c r="N643" s="138"/>
    </row>
    <row r="644" spans="1:14" ht="15" customHeight="1" x14ac:dyDescent="0.2">
      <c r="C644" s="59"/>
      <c r="D644" s="59"/>
      <c r="E644" s="59"/>
      <c r="F644" s="59"/>
      <c r="G644" s="59"/>
      <c r="H644" s="59"/>
      <c r="I644" s="59"/>
      <c r="J644" s="59"/>
      <c r="K644" s="59"/>
      <c r="L644" s="59"/>
      <c r="M644" s="59"/>
      <c r="N644" s="138"/>
    </row>
    <row r="646" spans="1:14" ht="15" customHeight="1" x14ac:dyDescent="0.2">
      <c r="A646" s="28" t="s">
        <v>425</v>
      </c>
    </row>
    <row r="647" spans="1:14" ht="15" customHeight="1" x14ac:dyDescent="0.2">
      <c r="A647" s="28" t="s">
        <v>426</v>
      </c>
    </row>
    <row r="648" spans="1:14" ht="15" customHeight="1" x14ac:dyDescent="0.2">
      <c r="A648" s="28" t="s">
        <v>427</v>
      </c>
    </row>
    <row r="649" spans="1:14" ht="15" customHeight="1" x14ac:dyDescent="0.2">
      <c r="A649" s="28" t="s">
        <v>72</v>
      </c>
    </row>
  </sheetData>
  <sheetProtection sheet="1" objects="1" scenarios="1"/>
  <mergeCells count="934">
    <mergeCell ref="C332:M332"/>
    <mergeCell ref="C384:M384"/>
    <mergeCell ref="C436:M436"/>
    <mergeCell ref="C488:M488"/>
    <mergeCell ref="C540:M540"/>
    <mergeCell ref="C592:M592"/>
    <mergeCell ref="L6:M6"/>
    <mergeCell ref="D7:F7"/>
    <mergeCell ref="J7:K7"/>
    <mergeCell ref="L7:M7"/>
    <mergeCell ref="D8:F8"/>
    <mergeCell ref="J8:K8"/>
    <mergeCell ref="L8:M8"/>
    <mergeCell ref="C12:E12"/>
    <mergeCell ref="F12:G12"/>
    <mergeCell ref="H12:I12"/>
    <mergeCell ref="J12:M12"/>
    <mergeCell ref="C13:E13"/>
    <mergeCell ref="F13:G13"/>
    <mergeCell ref="H13:I13"/>
    <mergeCell ref="J13:M13"/>
    <mergeCell ref="C9:F10"/>
    <mergeCell ref="G9:I10"/>
    <mergeCell ref="C11:M11"/>
    <mergeCell ref="L3:M3"/>
    <mergeCell ref="C4:M4"/>
    <mergeCell ref="D5:F5"/>
    <mergeCell ref="G5:I8"/>
    <mergeCell ref="J5:K5"/>
    <mergeCell ref="L5:M5"/>
    <mergeCell ref="D6:F6"/>
    <mergeCell ref="J6:K6"/>
    <mergeCell ref="C3:K3"/>
    <mergeCell ref="J9:M10"/>
    <mergeCell ref="C16:E16"/>
    <mergeCell ref="F16:G16"/>
    <mergeCell ref="H16:M16"/>
    <mergeCell ref="C17:E17"/>
    <mergeCell ref="C28:E28"/>
    <mergeCell ref="F28:G28"/>
    <mergeCell ref="H28:M28"/>
    <mergeCell ref="C14:E14"/>
    <mergeCell ref="F14:G14"/>
    <mergeCell ref="H14:I14"/>
    <mergeCell ref="J14:M14"/>
    <mergeCell ref="C15:E15"/>
    <mergeCell ref="F15:G15"/>
    <mergeCell ref="H15:M15"/>
    <mergeCell ref="F17:G17"/>
    <mergeCell ref="H17:M17"/>
    <mergeCell ref="C31:E31"/>
    <mergeCell ref="F31:G31"/>
    <mergeCell ref="C32:M32"/>
    <mergeCell ref="D33:M37"/>
    <mergeCell ref="C34:C37"/>
    <mergeCell ref="C38:M38"/>
    <mergeCell ref="C29:E29"/>
    <mergeCell ref="F29:G29"/>
    <mergeCell ref="H29:M29"/>
    <mergeCell ref="C30:E30"/>
    <mergeCell ref="F30:G30"/>
    <mergeCell ref="H30:M30"/>
    <mergeCell ref="C42:E42"/>
    <mergeCell ref="F42:G42"/>
    <mergeCell ref="H42:M42"/>
    <mergeCell ref="C43:E43"/>
    <mergeCell ref="F43:G43"/>
    <mergeCell ref="H43:M43"/>
    <mergeCell ref="C39:M39"/>
    <mergeCell ref="C40:D40"/>
    <mergeCell ref="E40:M40"/>
    <mergeCell ref="C41:E41"/>
    <mergeCell ref="F41:G41"/>
    <mergeCell ref="H41:M41"/>
    <mergeCell ref="C46:E46"/>
    <mergeCell ref="F46:G46"/>
    <mergeCell ref="H46:M46"/>
    <mergeCell ref="C47:E47"/>
    <mergeCell ref="F47:G47"/>
    <mergeCell ref="H47:M47"/>
    <mergeCell ref="C44:E44"/>
    <mergeCell ref="F44:G44"/>
    <mergeCell ref="H44:M44"/>
    <mergeCell ref="C45:E45"/>
    <mergeCell ref="F45:G45"/>
    <mergeCell ref="H45:M45"/>
    <mergeCell ref="C51:G51"/>
    <mergeCell ref="H51:I51"/>
    <mergeCell ref="J51:M51"/>
    <mergeCell ref="C52:M52"/>
    <mergeCell ref="C53:E53"/>
    <mergeCell ref="F53:M53"/>
    <mergeCell ref="C48:E48"/>
    <mergeCell ref="F48:G48"/>
    <mergeCell ref="H48:M48"/>
    <mergeCell ref="C49:M49"/>
    <mergeCell ref="C50:E50"/>
    <mergeCell ref="F50:M50"/>
    <mergeCell ref="D56:M56"/>
    <mergeCell ref="C57:M57"/>
    <mergeCell ref="C58:E58"/>
    <mergeCell ref="F58:M58"/>
    <mergeCell ref="C59:E59"/>
    <mergeCell ref="F59:G59"/>
    <mergeCell ref="H59:I59"/>
    <mergeCell ref="J59:M59"/>
    <mergeCell ref="C54:E54"/>
    <mergeCell ref="F54:G54"/>
    <mergeCell ref="H54:I54"/>
    <mergeCell ref="J54:M54"/>
    <mergeCell ref="C55:E55"/>
    <mergeCell ref="F55:G55"/>
    <mergeCell ref="H55:M55"/>
    <mergeCell ref="C64:E64"/>
    <mergeCell ref="F64:G64"/>
    <mergeCell ref="H64:I64"/>
    <mergeCell ref="J64:M64"/>
    <mergeCell ref="C65:E65"/>
    <mergeCell ref="F65:G65"/>
    <mergeCell ref="H65:M65"/>
    <mergeCell ref="C60:E60"/>
    <mergeCell ref="F60:G60"/>
    <mergeCell ref="H60:M60"/>
    <mergeCell ref="D61:M61"/>
    <mergeCell ref="C62:M62"/>
    <mergeCell ref="C63:E63"/>
    <mergeCell ref="F63:M63"/>
    <mergeCell ref="C70:E70"/>
    <mergeCell ref="F70:G70"/>
    <mergeCell ref="H70:M70"/>
    <mergeCell ref="D71:M71"/>
    <mergeCell ref="C72:M72"/>
    <mergeCell ref="C73:D73"/>
    <mergeCell ref="E73:M73"/>
    <mergeCell ref="D66:M66"/>
    <mergeCell ref="C67:M67"/>
    <mergeCell ref="C68:E68"/>
    <mergeCell ref="F68:M68"/>
    <mergeCell ref="C69:E69"/>
    <mergeCell ref="F69:G69"/>
    <mergeCell ref="H69:I69"/>
    <mergeCell ref="J69:M69"/>
    <mergeCell ref="C77:E77"/>
    <mergeCell ref="F77:M77"/>
    <mergeCell ref="C78:E78"/>
    <mergeCell ref="F78:G78"/>
    <mergeCell ref="C79:E79"/>
    <mergeCell ref="F79:M79"/>
    <mergeCell ref="C74:E74"/>
    <mergeCell ref="F74:G74"/>
    <mergeCell ref="C75:E75"/>
    <mergeCell ref="F75:M75"/>
    <mergeCell ref="C76:E76"/>
    <mergeCell ref="F76:G76"/>
    <mergeCell ref="H74:M74"/>
    <mergeCell ref="H76:M76"/>
    <mergeCell ref="H78:M78"/>
    <mergeCell ref="C80:E80"/>
    <mergeCell ref="F80:G80"/>
    <mergeCell ref="C81:E81"/>
    <mergeCell ref="F81:M81"/>
    <mergeCell ref="C82:E82"/>
    <mergeCell ref="F82:G82"/>
    <mergeCell ref="H80:M80"/>
    <mergeCell ref="H82:M82"/>
    <mergeCell ref="H84:M84"/>
    <mergeCell ref="E87:H87"/>
    <mergeCell ref="E86:H86"/>
    <mergeCell ref="C87:D87"/>
    <mergeCell ref="C86:D86"/>
    <mergeCell ref="C83:E83"/>
    <mergeCell ref="F83:M83"/>
    <mergeCell ref="C84:E84"/>
    <mergeCell ref="F84:G84"/>
    <mergeCell ref="C85:E85"/>
    <mergeCell ref="F85:M85"/>
    <mergeCell ref="I87:J87"/>
    <mergeCell ref="I86:J86"/>
    <mergeCell ref="K86:M86"/>
    <mergeCell ref="K87:M87"/>
    <mergeCell ref="C94:M94"/>
    <mergeCell ref="C97:E97"/>
    <mergeCell ref="G97:H97"/>
    <mergeCell ref="I97:M97"/>
    <mergeCell ref="C98:M99"/>
    <mergeCell ref="C100:M100"/>
    <mergeCell ref="C88:M88"/>
    <mergeCell ref="D89:M93"/>
    <mergeCell ref="C90:C93"/>
    <mergeCell ref="J104:J105"/>
    <mergeCell ref="H106:I106"/>
    <mergeCell ref="K106:L106"/>
    <mergeCell ref="H107:I107"/>
    <mergeCell ref="K107:L107"/>
    <mergeCell ref="H108:I108"/>
    <mergeCell ref="K108:L108"/>
    <mergeCell ref="C101:E101"/>
    <mergeCell ref="F101:M101"/>
    <mergeCell ref="C103:C105"/>
    <mergeCell ref="D103:D105"/>
    <mergeCell ref="E103:E105"/>
    <mergeCell ref="F103:F105"/>
    <mergeCell ref="G103:G105"/>
    <mergeCell ref="H103:I105"/>
    <mergeCell ref="J103:L103"/>
    <mergeCell ref="M103:M105"/>
    <mergeCell ref="G102:M102"/>
    <mergeCell ref="H112:I112"/>
    <mergeCell ref="K112:L112"/>
    <mergeCell ref="H113:I113"/>
    <mergeCell ref="K113:L113"/>
    <mergeCell ref="H114:I114"/>
    <mergeCell ref="K114:L114"/>
    <mergeCell ref="H109:I109"/>
    <mergeCell ref="K109:L109"/>
    <mergeCell ref="H110:I110"/>
    <mergeCell ref="K110:L110"/>
    <mergeCell ref="H111:I111"/>
    <mergeCell ref="K111:L111"/>
    <mergeCell ref="H118:I118"/>
    <mergeCell ref="K118:L118"/>
    <mergeCell ref="H119:I119"/>
    <mergeCell ref="K119:L119"/>
    <mergeCell ref="H120:I120"/>
    <mergeCell ref="K120:L120"/>
    <mergeCell ref="H115:I115"/>
    <mergeCell ref="K115:L115"/>
    <mergeCell ref="H116:I116"/>
    <mergeCell ref="K116:L116"/>
    <mergeCell ref="H117:I117"/>
    <mergeCell ref="K117:L117"/>
    <mergeCell ref="H124:I124"/>
    <mergeCell ref="K124:L124"/>
    <mergeCell ref="H125:I125"/>
    <mergeCell ref="K125:L125"/>
    <mergeCell ref="H126:I126"/>
    <mergeCell ref="K126:L126"/>
    <mergeCell ref="H121:I121"/>
    <mergeCell ref="K121:L121"/>
    <mergeCell ref="H122:I122"/>
    <mergeCell ref="K122:L122"/>
    <mergeCell ref="H123:I123"/>
    <mergeCell ref="K123:L123"/>
    <mergeCell ref="H130:I130"/>
    <mergeCell ref="K130:L130"/>
    <mergeCell ref="C131:M131"/>
    <mergeCell ref="D132:M136"/>
    <mergeCell ref="C133:C136"/>
    <mergeCell ref="C137:M137"/>
    <mergeCell ref="H127:I127"/>
    <mergeCell ref="K127:L127"/>
    <mergeCell ref="H128:I128"/>
    <mergeCell ref="K128:L128"/>
    <mergeCell ref="H129:I129"/>
    <mergeCell ref="K129:L129"/>
    <mergeCell ref="C138:M138"/>
    <mergeCell ref="C139:E139"/>
    <mergeCell ref="F139:M139"/>
    <mergeCell ref="C140:E140"/>
    <mergeCell ref="C141:C142"/>
    <mergeCell ref="D141:D142"/>
    <mergeCell ref="E141:E142"/>
    <mergeCell ref="F141:F142"/>
    <mergeCell ref="G141:G142"/>
    <mergeCell ref="H141:H142"/>
    <mergeCell ref="G140:M140"/>
    <mergeCell ref="L145:M145"/>
    <mergeCell ref="L146:M146"/>
    <mergeCell ref="L147:M147"/>
    <mergeCell ref="L148:M148"/>
    <mergeCell ref="L149:M149"/>
    <mergeCell ref="L150:M150"/>
    <mergeCell ref="I141:I142"/>
    <mergeCell ref="J141:J142"/>
    <mergeCell ref="K141:K142"/>
    <mergeCell ref="L141:M142"/>
    <mergeCell ref="L143:M143"/>
    <mergeCell ref="L144:M144"/>
    <mergeCell ref="L157:M157"/>
    <mergeCell ref="L158:M158"/>
    <mergeCell ref="L159:M159"/>
    <mergeCell ref="L160:M160"/>
    <mergeCell ref="L161:M161"/>
    <mergeCell ref="L162:M162"/>
    <mergeCell ref="L151:M151"/>
    <mergeCell ref="L152:M152"/>
    <mergeCell ref="L153:M153"/>
    <mergeCell ref="L154:M154"/>
    <mergeCell ref="L155:M155"/>
    <mergeCell ref="L156:M156"/>
    <mergeCell ref="C169:M169"/>
    <mergeCell ref="D170:M174"/>
    <mergeCell ref="C171:C174"/>
    <mergeCell ref="C175:M175"/>
    <mergeCell ref="C176:M176"/>
    <mergeCell ref="C177:E177"/>
    <mergeCell ref="F177:M177"/>
    <mergeCell ref="L163:M163"/>
    <mergeCell ref="L164:M164"/>
    <mergeCell ref="L165:M165"/>
    <mergeCell ref="L166:M166"/>
    <mergeCell ref="L167:M167"/>
    <mergeCell ref="L168:M168"/>
    <mergeCell ref="C178:E178"/>
    <mergeCell ref="C179:C180"/>
    <mergeCell ref="D179:D180"/>
    <mergeCell ref="E179:E180"/>
    <mergeCell ref="F179:F180"/>
    <mergeCell ref="G179:G180"/>
    <mergeCell ref="H179:H180"/>
    <mergeCell ref="I179:I180"/>
    <mergeCell ref="J179:J180"/>
    <mergeCell ref="G178:M178"/>
    <mergeCell ref="L185:M185"/>
    <mergeCell ref="L186:M186"/>
    <mergeCell ref="L187:M187"/>
    <mergeCell ref="L188:M188"/>
    <mergeCell ref="L189:M189"/>
    <mergeCell ref="L190:M190"/>
    <mergeCell ref="K179:K180"/>
    <mergeCell ref="L179:M180"/>
    <mergeCell ref="L181:M181"/>
    <mergeCell ref="L182:M182"/>
    <mergeCell ref="L183:M183"/>
    <mergeCell ref="L184:M184"/>
    <mergeCell ref="L197:M197"/>
    <mergeCell ref="L198:M198"/>
    <mergeCell ref="L199:M199"/>
    <mergeCell ref="L200:M200"/>
    <mergeCell ref="L201:M201"/>
    <mergeCell ref="L202:M202"/>
    <mergeCell ref="L191:M191"/>
    <mergeCell ref="L192:M192"/>
    <mergeCell ref="L193:M193"/>
    <mergeCell ref="L194:M194"/>
    <mergeCell ref="L195:M195"/>
    <mergeCell ref="L196:M196"/>
    <mergeCell ref="L209:M209"/>
    <mergeCell ref="L210:M210"/>
    <mergeCell ref="L211:M211"/>
    <mergeCell ref="L212:M212"/>
    <mergeCell ref="L213:M213"/>
    <mergeCell ref="L214:M214"/>
    <mergeCell ref="L203:M203"/>
    <mergeCell ref="L204:M204"/>
    <mergeCell ref="L205:M205"/>
    <mergeCell ref="L206:M206"/>
    <mergeCell ref="L207:M207"/>
    <mergeCell ref="L208:M208"/>
    <mergeCell ref="C221:M221"/>
    <mergeCell ref="D222:M226"/>
    <mergeCell ref="C223:C226"/>
    <mergeCell ref="C227:M227"/>
    <mergeCell ref="C228:M228"/>
    <mergeCell ref="C229:E229"/>
    <mergeCell ref="F229:M229"/>
    <mergeCell ref="L215:M215"/>
    <mergeCell ref="L216:M216"/>
    <mergeCell ref="L217:M217"/>
    <mergeCell ref="L218:M218"/>
    <mergeCell ref="L219:M219"/>
    <mergeCell ref="L220:M220"/>
    <mergeCell ref="C230:E230"/>
    <mergeCell ref="C231:C232"/>
    <mergeCell ref="D231:D232"/>
    <mergeCell ref="E231:E232"/>
    <mergeCell ref="F231:F232"/>
    <mergeCell ref="G231:G232"/>
    <mergeCell ref="H231:H232"/>
    <mergeCell ref="I231:I232"/>
    <mergeCell ref="J231:J232"/>
    <mergeCell ref="G230:M230"/>
    <mergeCell ref="L237:M237"/>
    <mergeCell ref="L238:M238"/>
    <mergeCell ref="L239:M239"/>
    <mergeCell ref="L240:M240"/>
    <mergeCell ref="L241:M241"/>
    <mergeCell ref="L242:M242"/>
    <mergeCell ref="K231:K232"/>
    <mergeCell ref="L231:M232"/>
    <mergeCell ref="L233:M233"/>
    <mergeCell ref="L234:M234"/>
    <mergeCell ref="L235:M235"/>
    <mergeCell ref="L236:M236"/>
    <mergeCell ref="L249:M249"/>
    <mergeCell ref="L250:M250"/>
    <mergeCell ref="L251:M251"/>
    <mergeCell ref="L252:M252"/>
    <mergeCell ref="L253:M253"/>
    <mergeCell ref="L254:M254"/>
    <mergeCell ref="L243:M243"/>
    <mergeCell ref="L244:M244"/>
    <mergeCell ref="L245:M245"/>
    <mergeCell ref="L246:M246"/>
    <mergeCell ref="L247:M247"/>
    <mergeCell ref="L248:M248"/>
    <mergeCell ref="L261:M261"/>
    <mergeCell ref="L262:M262"/>
    <mergeCell ref="L263:M263"/>
    <mergeCell ref="L264:M264"/>
    <mergeCell ref="L265:M265"/>
    <mergeCell ref="L266:M266"/>
    <mergeCell ref="L255:M255"/>
    <mergeCell ref="L256:M256"/>
    <mergeCell ref="L257:M257"/>
    <mergeCell ref="L258:M258"/>
    <mergeCell ref="L259:M259"/>
    <mergeCell ref="L260:M260"/>
    <mergeCell ref="C273:M273"/>
    <mergeCell ref="D274:M278"/>
    <mergeCell ref="C275:C278"/>
    <mergeCell ref="C279:M279"/>
    <mergeCell ref="C281:E281"/>
    <mergeCell ref="F281:M281"/>
    <mergeCell ref="L267:M267"/>
    <mergeCell ref="L268:M268"/>
    <mergeCell ref="L269:M269"/>
    <mergeCell ref="L270:M270"/>
    <mergeCell ref="L271:M271"/>
    <mergeCell ref="L272:M272"/>
    <mergeCell ref="C280:M280"/>
    <mergeCell ref="C282:E282"/>
    <mergeCell ref="C283:C284"/>
    <mergeCell ref="D283:D284"/>
    <mergeCell ref="E283:E284"/>
    <mergeCell ref="F283:F284"/>
    <mergeCell ref="G283:G284"/>
    <mergeCell ref="H283:H284"/>
    <mergeCell ref="I283:J284"/>
    <mergeCell ref="K283:K284"/>
    <mergeCell ref="G282:M282"/>
    <mergeCell ref="I288:J288"/>
    <mergeCell ref="L288:M288"/>
    <mergeCell ref="I289:J289"/>
    <mergeCell ref="L289:M289"/>
    <mergeCell ref="I290:J290"/>
    <mergeCell ref="L290:M290"/>
    <mergeCell ref="L283:M284"/>
    <mergeCell ref="I285:J285"/>
    <mergeCell ref="L285:M285"/>
    <mergeCell ref="I286:J286"/>
    <mergeCell ref="L286:M286"/>
    <mergeCell ref="I287:J287"/>
    <mergeCell ref="L287:M287"/>
    <mergeCell ref="I294:J294"/>
    <mergeCell ref="L294:M294"/>
    <mergeCell ref="I295:J295"/>
    <mergeCell ref="L295:M295"/>
    <mergeCell ref="I296:J296"/>
    <mergeCell ref="L296:M296"/>
    <mergeCell ref="I291:J291"/>
    <mergeCell ref="L291:M291"/>
    <mergeCell ref="I292:J292"/>
    <mergeCell ref="L292:M292"/>
    <mergeCell ref="I293:J293"/>
    <mergeCell ref="L293:M293"/>
    <mergeCell ref="I300:J300"/>
    <mergeCell ref="L300:M300"/>
    <mergeCell ref="I301:J301"/>
    <mergeCell ref="L301:M301"/>
    <mergeCell ref="I302:J302"/>
    <mergeCell ref="L302:M302"/>
    <mergeCell ref="I297:J297"/>
    <mergeCell ref="L297:M297"/>
    <mergeCell ref="I298:J298"/>
    <mergeCell ref="L298:M298"/>
    <mergeCell ref="I299:J299"/>
    <mergeCell ref="L299:M299"/>
    <mergeCell ref="I306:J306"/>
    <mergeCell ref="L306:M306"/>
    <mergeCell ref="I307:J307"/>
    <mergeCell ref="L307:M307"/>
    <mergeCell ref="I308:J308"/>
    <mergeCell ref="L308:M308"/>
    <mergeCell ref="I303:J303"/>
    <mergeCell ref="L303:M303"/>
    <mergeCell ref="I304:J304"/>
    <mergeCell ref="L304:M304"/>
    <mergeCell ref="I305:J305"/>
    <mergeCell ref="L305:M305"/>
    <mergeCell ref="I312:J312"/>
    <mergeCell ref="L312:M312"/>
    <mergeCell ref="I313:J313"/>
    <mergeCell ref="L313:M313"/>
    <mergeCell ref="I314:J314"/>
    <mergeCell ref="L314:M314"/>
    <mergeCell ref="I309:J309"/>
    <mergeCell ref="L309:M309"/>
    <mergeCell ref="I310:J310"/>
    <mergeCell ref="L310:M310"/>
    <mergeCell ref="I311:J311"/>
    <mergeCell ref="L311:M311"/>
    <mergeCell ref="I318:J318"/>
    <mergeCell ref="L318:M318"/>
    <mergeCell ref="I319:J319"/>
    <mergeCell ref="L319:M319"/>
    <mergeCell ref="I320:J320"/>
    <mergeCell ref="L320:M320"/>
    <mergeCell ref="I315:J315"/>
    <mergeCell ref="L315:M315"/>
    <mergeCell ref="I316:J316"/>
    <mergeCell ref="L316:M316"/>
    <mergeCell ref="I317:J317"/>
    <mergeCell ref="L317:M317"/>
    <mergeCell ref="I324:J324"/>
    <mergeCell ref="L324:M324"/>
    <mergeCell ref="C325:M325"/>
    <mergeCell ref="D326:M330"/>
    <mergeCell ref="C327:C330"/>
    <mergeCell ref="C331:M331"/>
    <mergeCell ref="I321:J321"/>
    <mergeCell ref="L321:M321"/>
    <mergeCell ref="I322:J322"/>
    <mergeCell ref="L322:M322"/>
    <mergeCell ref="I323:J323"/>
    <mergeCell ref="L323:M323"/>
    <mergeCell ref="C333:E333"/>
    <mergeCell ref="F333:M333"/>
    <mergeCell ref="C334:E334"/>
    <mergeCell ref="C335:C336"/>
    <mergeCell ref="D335:D336"/>
    <mergeCell ref="E335:E336"/>
    <mergeCell ref="F335:F336"/>
    <mergeCell ref="G335:G336"/>
    <mergeCell ref="H335:H336"/>
    <mergeCell ref="G334:M334"/>
    <mergeCell ref="L339:M339"/>
    <mergeCell ref="L340:M340"/>
    <mergeCell ref="L341:M341"/>
    <mergeCell ref="L342:M342"/>
    <mergeCell ref="L343:M343"/>
    <mergeCell ref="L344:M344"/>
    <mergeCell ref="I335:I336"/>
    <mergeCell ref="J335:J336"/>
    <mergeCell ref="K335:K336"/>
    <mergeCell ref="L335:M336"/>
    <mergeCell ref="L337:M337"/>
    <mergeCell ref="L338:M338"/>
    <mergeCell ref="L351:M351"/>
    <mergeCell ref="L352:M352"/>
    <mergeCell ref="L353:M353"/>
    <mergeCell ref="L354:M354"/>
    <mergeCell ref="L355:M355"/>
    <mergeCell ref="L356:M356"/>
    <mergeCell ref="L345:M345"/>
    <mergeCell ref="L346:M346"/>
    <mergeCell ref="L347:M347"/>
    <mergeCell ref="L348:M348"/>
    <mergeCell ref="L349:M349"/>
    <mergeCell ref="L350:M350"/>
    <mergeCell ref="L363:M363"/>
    <mergeCell ref="L364:M364"/>
    <mergeCell ref="L365:M365"/>
    <mergeCell ref="L366:M366"/>
    <mergeCell ref="L367:M367"/>
    <mergeCell ref="L368:M368"/>
    <mergeCell ref="L357:M357"/>
    <mergeCell ref="L358:M358"/>
    <mergeCell ref="L359:M359"/>
    <mergeCell ref="L360:M360"/>
    <mergeCell ref="L361:M361"/>
    <mergeCell ref="L362:M362"/>
    <mergeCell ref="L375:M375"/>
    <mergeCell ref="L376:M376"/>
    <mergeCell ref="C377:M377"/>
    <mergeCell ref="D378:M382"/>
    <mergeCell ref="C379:C382"/>
    <mergeCell ref="C383:M383"/>
    <mergeCell ref="L369:M369"/>
    <mergeCell ref="L370:M370"/>
    <mergeCell ref="L371:M371"/>
    <mergeCell ref="L372:M372"/>
    <mergeCell ref="L373:M373"/>
    <mergeCell ref="L374:M374"/>
    <mergeCell ref="C385:E385"/>
    <mergeCell ref="F385:M385"/>
    <mergeCell ref="C386:E386"/>
    <mergeCell ref="C387:C388"/>
    <mergeCell ref="D387:D388"/>
    <mergeCell ref="E387:E388"/>
    <mergeCell ref="F387:F388"/>
    <mergeCell ref="G387:G388"/>
    <mergeCell ref="H387:H388"/>
    <mergeCell ref="G386:M386"/>
    <mergeCell ref="J393:M393"/>
    <mergeCell ref="J394:M394"/>
    <mergeCell ref="J395:M395"/>
    <mergeCell ref="J396:M396"/>
    <mergeCell ref="J397:M397"/>
    <mergeCell ref="J398:M398"/>
    <mergeCell ref="I387:I388"/>
    <mergeCell ref="J387:M388"/>
    <mergeCell ref="J389:M389"/>
    <mergeCell ref="J390:M390"/>
    <mergeCell ref="J391:M391"/>
    <mergeCell ref="J392:M392"/>
    <mergeCell ref="J405:M405"/>
    <mergeCell ref="J406:M406"/>
    <mergeCell ref="J407:M407"/>
    <mergeCell ref="J408:M408"/>
    <mergeCell ref="J409:M409"/>
    <mergeCell ref="J410:M410"/>
    <mergeCell ref="J399:M399"/>
    <mergeCell ref="J400:M400"/>
    <mergeCell ref="J401:M401"/>
    <mergeCell ref="J402:M402"/>
    <mergeCell ref="J403:M403"/>
    <mergeCell ref="J404:M404"/>
    <mergeCell ref="J417:M417"/>
    <mergeCell ref="J418:M418"/>
    <mergeCell ref="J419:M419"/>
    <mergeCell ref="J420:M420"/>
    <mergeCell ref="J421:M421"/>
    <mergeCell ref="J422:M422"/>
    <mergeCell ref="J411:M411"/>
    <mergeCell ref="J412:M412"/>
    <mergeCell ref="J413:M413"/>
    <mergeCell ref="J414:M414"/>
    <mergeCell ref="J415:M415"/>
    <mergeCell ref="J416:M416"/>
    <mergeCell ref="C429:M429"/>
    <mergeCell ref="D430:M434"/>
    <mergeCell ref="C431:C434"/>
    <mergeCell ref="C435:M435"/>
    <mergeCell ref="C437:E437"/>
    <mergeCell ref="F437:M437"/>
    <mergeCell ref="J423:M423"/>
    <mergeCell ref="J424:M424"/>
    <mergeCell ref="J425:M425"/>
    <mergeCell ref="J426:M426"/>
    <mergeCell ref="J427:M427"/>
    <mergeCell ref="J428:M428"/>
    <mergeCell ref="K439:M440"/>
    <mergeCell ref="K441:M441"/>
    <mergeCell ref="K442:M442"/>
    <mergeCell ref="K443:M443"/>
    <mergeCell ref="K444:M444"/>
    <mergeCell ref="K445:M445"/>
    <mergeCell ref="C438:E438"/>
    <mergeCell ref="C439:C440"/>
    <mergeCell ref="D439:D440"/>
    <mergeCell ref="E439:E440"/>
    <mergeCell ref="F439:F440"/>
    <mergeCell ref="G439:G440"/>
    <mergeCell ref="H439:H440"/>
    <mergeCell ref="I439:I440"/>
    <mergeCell ref="J439:J440"/>
    <mergeCell ref="G438:M438"/>
    <mergeCell ref="K452:M452"/>
    <mergeCell ref="K453:M453"/>
    <mergeCell ref="K454:M454"/>
    <mergeCell ref="K455:M455"/>
    <mergeCell ref="K456:M456"/>
    <mergeCell ref="K457:M457"/>
    <mergeCell ref="K446:M446"/>
    <mergeCell ref="K447:M447"/>
    <mergeCell ref="K448:M448"/>
    <mergeCell ref="K449:M449"/>
    <mergeCell ref="K450:M450"/>
    <mergeCell ref="K451:M451"/>
    <mergeCell ref="K464:M464"/>
    <mergeCell ref="K465:M465"/>
    <mergeCell ref="K466:M466"/>
    <mergeCell ref="K467:M467"/>
    <mergeCell ref="K468:M468"/>
    <mergeCell ref="K469:M469"/>
    <mergeCell ref="K458:M458"/>
    <mergeCell ref="K459:M459"/>
    <mergeCell ref="K460:M460"/>
    <mergeCell ref="K461:M461"/>
    <mergeCell ref="K462:M462"/>
    <mergeCell ref="K463:M463"/>
    <mergeCell ref="K476:M476"/>
    <mergeCell ref="K477:M477"/>
    <mergeCell ref="K478:M478"/>
    <mergeCell ref="K479:M479"/>
    <mergeCell ref="K480:M480"/>
    <mergeCell ref="C481:M481"/>
    <mergeCell ref="K470:M470"/>
    <mergeCell ref="K471:M471"/>
    <mergeCell ref="K472:M472"/>
    <mergeCell ref="K473:M473"/>
    <mergeCell ref="K474:M474"/>
    <mergeCell ref="K475:M475"/>
    <mergeCell ref="C491:C492"/>
    <mergeCell ref="D491:D492"/>
    <mergeCell ref="E491:E492"/>
    <mergeCell ref="F491:F492"/>
    <mergeCell ref="G491:G492"/>
    <mergeCell ref="H491:H492"/>
    <mergeCell ref="D482:M486"/>
    <mergeCell ref="C483:C486"/>
    <mergeCell ref="C487:M487"/>
    <mergeCell ref="C489:E489"/>
    <mergeCell ref="F489:M489"/>
    <mergeCell ref="C490:E490"/>
    <mergeCell ref="G490:M490"/>
    <mergeCell ref="K496:M496"/>
    <mergeCell ref="K497:M497"/>
    <mergeCell ref="K498:M498"/>
    <mergeCell ref="K499:M499"/>
    <mergeCell ref="K500:M500"/>
    <mergeCell ref="K501:M501"/>
    <mergeCell ref="I491:I492"/>
    <mergeCell ref="J491:J492"/>
    <mergeCell ref="K491:M492"/>
    <mergeCell ref="K493:M493"/>
    <mergeCell ref="K494:M494"/>
    <mergeCell ref="K495:M495"/>
    <mergeCell ref="K508:M508"/>
    <mergeCell ref="K509:M509"/>
    <mergeCell ref="K510:M510"/>
    <mergeCell ref="K511:M511"/>
    <mergeCell ref="K512:M512"/>
    <mergeCell ref="K513:M513"/>
    <mergeCell ref="K502:M502"/>
    <mergeCell ref="K503:M503"/>
    <mergeCell ref="K504:M504"/>
    <mergeCell ref="K505:M505"/>
    <mergeCell ref="K506:M506"/>
    <mergeCell ref="K507:M507"/>
    <mergeCell ref="K520:M520"/>
    <mergeCell ref="K521:M521"/>
    <mergeCell ref="K522:M522"/>
    <mergeCell ref="K523:M523"/>
    <mergeCell ref="K524:M524"/>
    <mergeCell ref="K525:M525"/>
    <mergeCell ref="K514:M514"/>
    <mergeCell ref="K515:M515"/>
    <mergeCell ref="K516:M516"/>
    <mergeCell ref="K517:M517"/>
    <mergeCell ref="K518:M518"/>
    <mergeCell ref="K519:M519"/>
    <mergeCell ref="K532:M532"/>
    <mergeCell ref="C533:M533"/>
    <mergeCell ref="D534:M538"/>
    <mergeCell ref="C535:C538"/>
    <mergeCell ref="C539:M539"/>
    <mergeCell ref="C541:E541"/>
    <mergeCell ref="F541:M541"/>
    <mergeCell ref="K526:M526"/>
    <mergeCell ref="K527:M527"/>
    <mergeCell ref="K528:M528"/>
    <mergeCell ref="K529:M529"/>
    <mergeCell ref="K530:M530"/>
    <mergeCell ref="K531:M531"/>
    <mergeCell ref="J545:M545"/>
    <mergeCell ref="J546:M546"/>
    <mergeCell ref="J547:M547"/>
    <mergeCell ref="J548:M548"/>
    <mergeCell ref="J549:M549"/>
    <mergeCell ref="J550:M550"/>
    <mergeCell ref="C542:E542"/>
    <mergeCell ref="C543:C544"/>
    <mergeCell ref="D543:D544"/>
    <mergeCell ref="E543:E544"/>
    <mergeCell ref="F543:F544"/>
    <mergeCell ref="G543:G544"/>
    <mergeCell ref="H543:H544"/>
    <mergeCell ref="I543:I544"/>
    <mergeCell ref="J543:M544"/>
    <mergeCell ref="G542:M542"/>
    <mergeCell ref="J557:M557"/>
    <mergeCell ref="J558:M558"/>
    <mergeCell ref="J559:M559"/>
    <mergeCell ref="J560:M560"/>
    <mergeCell ref="J561:M561"/>
    <mergeCell ref="J562:M562"/>
    <mergeCell ref="J551:M551"/>
    <mergeCell ref="J552:M552"/>
    <mergeCell ref="J553:M553"/>
    <mergeCell ref="J554:M554"/>
    <mergeCell ref="J555:M555"/>
    <mergeCell ref="J556:M556"/>
    <mergeCell ref="J569:M569"/>
    <mergeCell ref="J570:M570"/>
    <mergeCell ref="J571:M571"/>
    <mergeCell ref="J572:M572"/>
    <mergeCell ref="J573:M573"/>
    <mergeCell ref="J574:M574"/>
    <mergeCell ref="J563:M563"/>
    <mergeCell ref="J564:M564"/>
    <mergeCell ref="J565:M565"/>
    <mergeCell ref="J566:M566"/>
    <mergeCell ref="J567:M567"/>
    <mergeCell ref="J568:M568"/>
    <mergeCell ref="J581:M581"/>
    <mergeCell ref="J582:M582"/>
    <mergeCell ref="J583:M583"/>
    <mergeCell ref="J584:M584"/>
    <mergeCell ref="C585:M585"/>
    <mergeCell ref="D586:M590"/>
    <mergeCell ref="C587:C590"/>
    <mergeCell ref="J575:M575"/>
    <mergeCell ref="J576:M576"/>
    <mergeCell ref="J577:M577"/>
    <mergeCell ref="J578:M578"/>
    <mergeCell ref="J579:M579"/>
    <mergeCell ref="J580:M580"/>
    <mergeCell ref="L595:M596"/>
    <mergeCell ref="D597:E597"/>
    <mergeCell ref="I597:K597"/>
    <mergeCell ref="L597:M597"/>
    <mergeCell ref="D598:E598"/>
    <mergeCell ref="I598:K598"/>
    <mergeCell ref="L598:M598"/>
    <mergeCell ref="C591:M591"/>
    <mergeCell ref="C593:E593"/>
    <mergeCell ref="F593:M593"/>
    <mergeCell ref="C595:C596"/>
    <mergeCell ref="D595:E596"/>
    <mergeCell ref="F595:F596"/>
    <mergeCell ref="G595:G596"/>
    <mergeCell ref="H595:H596"/>
    <mergeCell ref="I595:K596"/>
    <mergeCell ref="C594:M594"/>
    <mergeCell ref="D601:E601"/>
    <mergeCell ref="I601:K601"/>
    <mergeCell ref="L601:M601"/>
    <mergeCell ref="D602:E602"/>
    <mergeCell ref="I602:K602"/>
    <mergeCell ref="L602:M602"/>
    <mergeCell ref="D599:E599"/>
    <mergeCell ref="I599:K599"/>
    <mergeCell ref="L599:M599"/>
    <mergeCell ref="D600:E600"/>
    <mergeCell ref="I600:K600"/>
    <mergeCell ref="L600:M600"/>
    <mergeCell ref="D605:E605"/>
    <mergeCell ref="I605:K605"/>
    <mergeCell ref="L605:M605"/>
    <mergeCell ref="D606:E606"/>
    <mergeCell ref="I606:K606"/>
    <mergeCell ref="L606:M606"/>
    <mergeCell ref="D603:E603"/>
    <mergeCell ref="I603:K603"/>
    <mergeCell ref="L603:M603"/>
    <mergeCell ref="D604:E604"/>
    <mergeCell ref="I604:K604"/>
    <mergeCell ref="L604:M604"/>
    <mergeCell ref="D609:E609"/>
    <mergeCell ref="I609:K609"/>
    <mergeCell ref="L609:M609"/>
    <mergeCell ref="D610:E610"/>
    <mergeCell ref="I610:K610"/>
    <mergeCell ref="L610:M610"/>
    <mergeCell ref="D607:E607"/>
    <mergeCell ref="I607:K607"/>
    <mergeCell ref="L607:M607"/>
    <mergeCell ref="D608:E608"/>
    <mergeCell ref="I608:K608"/>
    <mergeCell ref="L608:M608"/>
    <mergeCell ref="D613:E613"/>
    <mergeCell ref="I613:K613"/>
    <mergeCell ref="L613:M613"/>
    <mergeCell ref="D614:E614"/>
    <mergeCell ref="I614:K614"/>
    <mergeCell ref="L614:M614"/>
    <mergeCell ref="D611:E611"/>
    <mergeCell ref="I611:K611"/>
    <mergeCell ref="L611:M611"/>
    <mergeCell ref="D612:E612"/>
    <mergeCell ref="I612:K612"/>
    <mergeCell ref="L612:M612"/>
    <mergeCell ref="D617:E617"/>
    <mergeCell ref="I617:K617"/>
    <mergeCell ref="L617:M617"/>
    <mergeCell ref="D618:E618"/>
    <mergeCell ref="I618:K618"/>
    <mergeCell ref="L618:M618"/>
    <mergeCell ref="D615:E615"/>
    <mergeCell ref="I615:K615"/>
    <mergeCell ref="L615:M615"/>
    <mergeCell ref="D616:E616"/>
    <mergeCell ref="I616:K616"/>
    <mergeCell ref="L616:M616"/>
    <mergeCell ref="D621:E621"/>
    <mergeCell ref="I621:K621"/>
    <mergeCell ref="L621:M621"/>
    <mergeCell ref="D622:E622"/>
    <mergeCell ref="I622:K622"/>
    <mergeCell ref="L622:M622"/>
    <mergeCell ref="D619:E619"/>
    <mergeCell ref="I619:K619"/>
    <mergeCell ref="L619:M619"/>
    <mergeCell ref="D620:E620"/>
    <mergeCell ref="I620:K620"/>
    <mergeCell ref="L620:M620"/>
    <mergeCell ref="D625:E625"/>
    <mergeCell ref="I625:K625"/>
    <mergeCell ref="L625:M625"/>
    <mergeCell ref="D626:E626"/>
    <mergeCell ref="I626:K626"/>
    <mergeCell ref="L626:M626"/>
    <mergeCell ref="D623:E623"/>
    <mergeCell ref="I623:K623"/>
    <mergeCell ref="L623:M623"/>
    <mergeCell ref="D624:E624"/>
    <mergeCell ref="I624:K624"/>
    <mergeCell ref="L624:M624"/>
    <mergeCell ref="D629:E629"/>
    <mergeCell ref="I629:K629"/>
    <mergeCell ref="L629:M629"/>
    <mergeCell ref="D630:E630"/>
    <mergeCell ref="I630:K630"/>
    <mergeCell ref="L630:M630"/>
    <mergeCell ref="D627:E627"/>
    <mergeCell ref="I627:K627"/>
    <mergeCell ref="L627:M627"/>
    <mergeCell ref="D628:E628"/>
    <mergeCell ref="I628:K628"/>
    <mergeCell ref="L628:M628"/>
    <mergeCell ref="D633:E633"/>
    <mergeCell ref="I633:K633"/>
    <mergeCell ref="L633:M633"/>
    <mergeCell ref="D634:E634"/>
    <mergeCell ref="I634:K634"/>
    <mergeCell ref="L634:M634"/>
    <mergeCell ref="D631:E631"/>
    <mergeCell ref="I631:K631"/>
    <mergeCell ref="L631:M631"/>
    <mergeCell ref="D632:E632"/>
    <mergeCell ref="I632:K632"/>
    <mergeCell ref="L632:M632"/>
    <mergeCell ref="C637:M637"/>
    <mergeCell ref="D638:M642"/>
    <mergeCell ref="C639:C642"/>
    <mergeCell ref="C643:M643"/>
    <mergeCell ref="D635:E635"/>
    <mergeCell ref="I635:K635"/>
    <mergeCell ref="L635:M635"/>
    <mergeCell ref="D636:E636"/>
    <mergeCell ref="I636:K636"/>
    <mergeCell ref="L636:M636"/>
  </mergeCells>
  <conditionalFormatting sqref="I97">
    <cfRule type="expression" dxfId="8" priority="27">
      <formula>$F$97="Special"</formula>
    </cfRule>
    <cfRule type="expression" dxfId="7" priority="28">
      <formula>$F$97="Standard*"</formula>
    </cfRule>
  </conditionalFormatting>
  <conditionalFormatting sqref="F55:G55">
    <cfRule type="expression" dxfId="6" priority="26">
      <formula>$F54="Fully Sheeted"</formula>
    </cfRule>
  </conditionalFormatting>
  <conditionalFormatting sqref="J54:M54">
    <cfRule type="expression" dxfId="5" priority="22">
      <formula>H54=""</formula>
    </cfRule>
  </conditionalFormatting>
  <conditionalFormatting sqref="F60:G60">
    <cfRule type="expression" dxfId="4" priority="5">
      <formula>$F59="Fully Sheeted"</formula>
    </cfRule>
  </conditionalFormatting>
  <conditionalFormatting sqref="F65:G65">
    <cfRule type="expression" dxfId="3" priority="4">
      <formula>$F64="Fully Sheeted"</formula>
    </cfRule>
  </conditionalFormatting>
  <conditionalFormatting sqref="F70:G70">
    <cfRule type="expression" dxfId="2" priority="3">
      <formula>$F69="Fully Sheeted"</formula>
    </cfRule>
  </conditionalFormatting>
  <conditionalFormatting sqref="J59:M59">
    <cfRule type="expression" dxfId="1" priority="2">
      <formula>H59=""</formula>
    </cfRule>
  </conditionalFormatting>
  <conditionalFormatting sqref="J69:M69 J64:M64">
    <cfRule type="expression" dxfId="0" priority="1">
      <formula>H64=""</formula>
    </cfRule>
  </conditionalFormatting>
  <dataValidations count="36">
    <dataValidation type="list" allowBlank="1" showInputMessage="1" sqref="D285" xr:uid="{00000000-0002-0000-0100-000000000000}">
      <formula1>$A$282:$A$285</formula1>
    </dataValidation>
    <dataValidation type="list" allowBlank="1" showInputMessage="1" showErrorMessage="1" sqref="K285:K324" xr:uid="{00000000-0002-0000-0100-000001000000}">
      <formula1>$A$292:$A$295</formula1>
    </dataValidation>
    <dataValidation type="list" allowBlank="1" showInputMessage="1" sqref="I285:I324" xr:uid="{00000000-0002-0000-0100-000002000000}">
      <formula1>$A$289:$A$290</formula1>
    </dataValidation>
    <dataValidation type="list" allowBlank="1" showInputMessage="1" showErrorMessage="1" sqref="D493:D532" xr:uid="{00000000-0002-0000-0100-000003000000}">
      <formula1>$A$490:$A$493</formula1>
    </dataValidation>
    <dataValidation type="list" allowBlank="1" showInputMessage="1" showErrorMessage="1" sqref="D545:D584" xr:uid="{00000000-0002-0000-0100-000004000000}">
      <formula1>$A$542:$A$545</formula1>
    </dataValidation>
    <dataValidation type="list" allowBlank="1" showInputMessage="1" showErrorMessage="1" sqref="G545:G584" xr:uid="{00000000-0002-0000-0100-000005000000}">
      <formula1>$A$547:$A$548</formula1>
    </dataValidation>
    <dataValidation type="list" allowBlank="1" showInputMessage="1" showErrorMessage="1" sqref="H493:H532 G493" xr:uid="{00000000-0002-0000-0100-000006000000}">
      <formula1>$A$495:$A$496</formula1>
    </dataValidation>
    <dataValidation type="list" allowBlank="1" showInputMessage="1" showErrorMessage="1" sqref="H441:I480" xr:uid="{00000000-0002-0000-0100-000007000000}">
      <formula1>$A$443:$A$444</formula1>
    </dataValidation>
    <dataValidation type="list" allowBlank="1" showInputMessage="1" showErrorMessage="1" sqref="D389:D428" xr:uid="{00000000-0002-0000-0100-000008000000}">
      <formula1>$A$388:$A$390</formula1>
    </dataValidation>
    <dataValidation type="list" allowBlank="1" showInputMessage="1" showErrorMessage="1" sqref="E389:E428" xr:uid="{00000000-0002-0000-0100-000009000000}">
      <formula1>$A$391:$A$392</formula1>
    </dataValidation>
    <dataValidation type="list" allowBlank="1" showInputMessage="1" showErrorMessage="1" sqref="H389:H428" xr:uid="{00000000-0002-0000-0100-00000A000000}">
      <formula1>$A$394:$A$395</formula1>
    </dataValidation>
    <dataValidation type="list" allowBlank="1" showInputMessage="1" showErrorMessage="1" sqref="G337:J376" xr:uid="{00000000-0002-0000-0100-00000B000000}">
      <formula1>$A$380:$A$381</formula1>
    </dataValidation>
    <dataValidation type="list" allowBlank="1" showInputMessage="1" showErrorMessage="1" sqref="E337:E376" xr:uid="{00000000-0002-0000-0100-00000C000000}">
      <formula1>$A$377:$A$378</formula1>
    </dataValidation>
    <dataValidation type="list" allowBlank="1" showInputMessage="1" sqref="D337:D376" xr:uid="{00000000-0002-0000-0100-00000D000000}">
      <formula1>$A$336:$A$337</formula1>
    </dataValidation>
    <dataValidation type="list" allowBlank="1" showInputMessage="1" sqref="D286:D324" xr:uid="{00000000-0002-0000-0100-00000E000000}">
      <formula1>$A$282:$A$283</formula1>
    </dataValidation>
    <dataValidation type="list" allowBlank="1" showInputMessage="1" showErrorMessage="1" sqref="E233" xr:uid="{00000000-0002-0000-0100-00000F000000}">
      <formula1>$A$234:$A$239</formula1>
    </dataValidation>
    <dataValidation type="list" allowBlank="1" showInputMessage="1" showErrorMessage="1" sqref="D233:D272" xr:uid="{00000000-0002-0000-0100-000010000000}">
      <formula1>$A$231:$A$232</formula1>
    </dataValidation>
    <dataValidation type="list" allowBlank="1" showInputMessage="1" sqref="F97" xr:uid="{00000000-0002-0000-0100-000011000000}">
      <formula1>$A$98:$A$99</formula1>
    </dataValidation>
    <dataValidation type="list" allowBlank="1" showInputMessage="1" sqref="F55:G55 F65:G65 F60:G60 F70:G70" xr:uid="{00000000-0002-0000-0100-000012000000}">
      <formula1>$A$59:$A$60</formula1>
    </dataValidation>
    <dataValidation type="list" allowBlank="1" showInputMessage="1" sqref="E86" xr:uid="{00000000-0002-0000-0100-000013000000}">
      <formula1>$A$89:$A$94</formula1>
    </dataValidation>
    <dataValidation type="list" allowBlank="1" showInputMessage="1" sqref="J106:J130" xr:uid="{00000000-0002-0000-0100-000014000000}">
      <formula1>$A$130:$A$132</formula1>
    </dataValidation>
    <dataValidation type="list" allowBlank="1" showInputMessage="1" sqref="I106:I108 H106:H130" xr:uid="{00000000-0002-0000-0100-000015000000}">
      <formula1>$A$107:$A$108</formula1>
    </dataValidation>
    <dataValidation type="list" allowBlank="1" showInputMessage="1" sqref="F102 F140 F230 F282 F334 F386 F438 F490 F542 F178" xr:uid="{00000000-0002-0000-0100-000016000000}">
      <formula1>$A$102:$A$103</formula1>
    </dataValidation>
    <dataValidation type="list" allowBlank="1" showInputMessage="1" sqref="F48:G48" xr:uid="{00000000-0002-0000-0100-000017000000}">
      <formula1>$A$48</formula1>
    </dataValidation>
    <dataValidation type="list" allowBlank="1" showInputMessage="1" sqref="F47:G47" xr:uid="{00000000-0002-0000-0100-000018000000}">
      <formula1>$A$47</formula1>
    </dataValidation>
    <dataValidation type="list" allowBlank="1" showInputMessage="1" sqref="F46:G46" xr:uid="{00000000-0002-0000-0100-000019000000}">
      <formula1>$A$46</formula1>
    </dataValidation>
    <dataValidation type="list" allowBlank="1" showInputMessage="1" showErrorMessage="1" sqref="F106:F130" xr:uid="{00000000-0002-0000-0100-00001A000000}">
      <formula1>$A$104:$A$105</formula1>
    </dataValidation>
    <dataValidation type="list" allowBlank="1" showInputMessage="1" sqref="F54:G54 F64:G64 F59:G59 F69:G69" xr:uid="{00000000-0002-0000-0100-00001B000000}">
      <formula1>$A$54:$A$56</formula1>
    </dataValidation>
    <dataValidation type="list" allowBlank="1" showInputMessage="1" sqref="F15:G15" xr:uid="{00000000-0002-0000-0100-00001C000000}">
      <formula1>$A$18:$A$24</formula1>
    </dataValidation>
    <dataValidation type="list" allowBlank="1" showInputMessage="1" sqref="J14:M14" xr:uid="{00000000-0002-0000-0100-00001D000000}">
      <formula1>$A$15:$A$16</formula1>
    </dataValidation>
    <dataValidation type="list" allowBlank="1" showInputMessage="1" sqref="J12:M13" xr:uid="{00000000-0002-0000-0100-00001E000000}">
      <formula1>$A$12:$A$13</formula1>
    </dataValidation>
    <dataValidation type="list" allowBlank="1" showInputMessage="1" showErrorMessage="1" sqref="F74:G74 F76 F78 F80 F82 F84 T83" xr:uid="{00000000-0002-0000-0100-00001F000000}">
      <formula1>$A$74:$A$78</formula1>
    </dataValidation>
    <dataValidation type="list" allowBlank="1" showInputMessage="1" sqref="H51:I51" xr:uid="{00000000-0002-0000-0100-000020000000}">
      <formula1>$A$51:$A$52</formula1>
    </dataValidation>
    <dataValidation type="list" allowBlank="1" showInputMessage="1" sqref="E87" xr:uid="{00000000-0002-0000-0100-000021000000}">
      <formula1>$A$646:$A$649</formula1>
    </dataValidation>
    <dataValidation type="list" allowBlank="1" showInputMessage="1" showErrorMessage="1" sqref="K86:M86" xr:uid="{00000000-0002-0000-0100-000022000000}">
      <formula1>$A$63:$A$65</formula1>
    </dataValidation>
    <dataValidation type="list" allowBlank="1" showInputMessage="1" showErrorMessage="1" sqref="K87:M87" xr:uid="{00000000-0002-0000-0100-000023000000}">
      <formula1>$A$66:$A$69</formula1>
    </dataValidation>
  </dataValidations>
  <pageMargins left="0.70866141732283472" right="0.70866141732283472" top="0.74803149606299213" bottom="0.74803149606299213" header="0.31496062992125984" footer="0.31496062992125984"/>
  <pageSetup paperSize="9" scale="9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macro="[0]!DesignCodes" altText="">
                <anchor moveWithCells="1">
                  <from>
                    <xdr:col>3</xdr:col>
                    <xdr:colOff>438150</xdr:colOff>
                    <xdr:row>38</xdr:row>
                    <xdr:rowOff>180975</xdr:rowOff>
                  </from>
                  <to>
                    <xdr:col>4</xdr:col>
                    <xdr:colOff>38100</xdr:colOff>
                    <xdr:row>40</xdr:row>
                    <xdr:rowOff>0</xdr:rowOff>
                  </to>
                </anchor>
              </controlPr>
            </control>
          </mc:Choice>
        </mc:AlternateContent>
        <mc:AlternateContent xmlns:mc="http://schemas.openxmlformats.org/markup-compatibility/2006">
          <mc:Choice Requires="x14">
            <control shapeId="4098" r:id="rId5" name="Check Box 2">
              <controlPr defaultSize="0" autoFill="0" autoLine="0" autoPict="0" macro="[0]!Secondary">
                <anchor moveWithCells="1">
                  <from>
                    <xdr:col>4</xdr:col>
                    <xdr:colOff>161925</xdr:colOff>
                    <xdr:row>48</xdr:row>
                    <xdr:rowOff>180975</xdr:rowOff>
                  </from>
                  <to>
                    <xdr:col>4</xdr:col>
                    <xdr:colOff>523875</xdr:colOff>
                    <xdr:row>49</xdr:row>
                    <xdr:rowOff>180975</xdr:rowOff>
                  </to>
                </anchor>
              </controlPr>
            </control>
          </mc:Choice>
        </mc:AlternateContent>
        <mc:AlternateContent xmlns:mc="http://schemas.openxmlformats.org/markup-compatibility/2006">
          <mc:Choice Requires="x14">
            <control shapeId="4099" r:id="rId6" name="Button 3">
              <controlPr defaultSize="0" print="0" autoFill="0" autoPict="0" macro="[0]!Panels">
                <anchor moveWithCells="1">
                  <from>
                    <xdr:col>7</xdr:col>
                    <xdr:colOff>323850</xdr:colOff>
                    <xdr:row>71</xdr:row>
                    <xdr:rowOff>28575</xdr:rowOff>
                  </from>
                  <to>
                    <xdr:col>16383</xdr:col>
                    <xdr:colOff>9525</xdr:colOff>
                    <xdr:row>72</xdr:row>
                    <xdr:rowOff>161925</xdr:rowOff>
                  </to>
                </anchor>
              </controlPr>
            </control>
          </mc:Choice>
        </mc:AlternateContent>
        <mc:AlternateContent xmlns:mc="http://schemas.openxmlformats.org/markup-compatibility/2006">
          <mc:Choice Requires="x14">
            <control shapeId="4100" r:id="rId7" name="Check Box 4">
              <controlPr defaultSize="0" autoFill="0" autoLine="0" autoPict="0" macro="[0]!RoofExt">
                <anchor moveWithCells="1">
                  <from>
                    <xdr:col>4</xdr:col>
                    <xdr:colOff>495300</xdr:colOff>
                    <xdr:row>99</xdr:row>
                    <xdr:rowOff>180975</xdr:rowOff>
                  </from>
                  <to>
                    <xdr:col>5</xdr:col>
                    <xdr:colOff>123825</xdr:colOff>
                    <xdr:row>100</xdr:row>
                    <xdr:rowOff>180975</xdr:rowOff>
                  </to>
                </anchor>
              </controlPr>
            </control>
          </mc:Choice>
        </mc:AlternateContent>
        <mc:AlternateContent xmlns:mc="http://schemas.openxmlformats.org/markup-compatibility/2006">
          <mc:Choice Requires="x14">
            <control shapeId="4101" r:id="rId8" name="Check Box 5">
              <controlPr defaultSize="0" autoFill="0" autoLine="0" autoPict="0" macro="[0]!RoofFO">
                <anchor moveWithCells="1">
                  <from>
                    <xdr:col>4</xdr:col>
                    <xdr:colOff>304800</xdr:colOff>
                    <xdr:row>137</xdr:row>
                    <xdr:rowOff>190500</xdr:rowOff>
                  </from>
                  <to>
                    <xdr:col>5</xdr:col>
                    <xdr:colOff>0</xdr:colOff>
                    <xdr:row>138</xdr:row>
                    <xdr:rowOff>180975</xdr:rowOff>
                  </to>
                </anchor>
              </controlPr>
            </control>
          </mc:Choice>
        </mc:AlternateContent>
        <mc:AlternateContent xmlns:mc="http://schemas.openxmlformats.org/markup-compatibility/2006">
          <mc:Choice Requires="x14">
            <control shapeId="4102" r:id="rId9" name="Check Box 6">
              <controlPr defaultSize="0" autoFill="0" autoLine="0" autoPict="0" macro="[0]!WallFO">
                <anchor moveWithCells="1">
                  <from>
                    <xdr:col>4</xdr:col>
                    <xdr:colOff>304800</xdr:colOff>
                    <xdr:row>176</xdr:row>
                    <xdr:rowOff>28575</xdr:rowOff>
                  </from>
                  <to>
                    <xdr:col>4</xdr:col>
                    <xdr:colOff>514350</xdr:colOff>
                    <xdr:row>176</xdr:row>
                    <xdr:rowOff>161925</xdr:rowOff>
                  </to>
                </anchor>
              </controlPr>
            </control>
          </mc:Choice>
        </mc:AlternateContent>
        <mc:AlternateContent xmlns:mc="http://schemas.openxmlformats.org/markup-compatibility/2006">
          <mc:Choice Requires="x14">
            <control shapeId="4103" r:id="rId10" name="Button 7">
              <controlPr defaultSize="0" print="0" autoFill="0" autoPict="0" macro="[0]!RoofFOAddRow">
                <anchor moveWithCells="1" sizeWithCells="1">
                  <from>
                    <xdr:col>11</xdr:col>
                    <xdr:colOff>0</xdr:colOff>
                    <xdr:row>139</xdr:row>
                    <xdr:rowOff>9525</xdr:rowOff>
                  </from>
                  <to>
                    <xdr:col>13</xdr:col>
                    <xdr:colOff>0</xdr:colOff>
                    <xdr:row>140</xdr:row>
                    <xdr:rowOff>0</xdr:rowOff>
                  </to>
                </anchor>
              </controlPr>
            </control>
          </mc:Choice>
        </mc:AlternateContent>
        <mc:AlternateContent xmlns:mc="http://schemas.openxmlformats.org/markup-compatibility/2006">
          <mc:Choice Requires="x14">
            <control shapeId="4104" r:id="rId11" name="Button 8">
              <controlPr defaultSize="0" print="0" autoFill="0" autoPict="0" macro="[0]!WallFOAddRow">
                <anchor moveWithCells="1" sizeWithCells="1">
                  <from>
                    <xdr:col>11</xdr:col>
                    <xdr:colOff>28575</xdr:colOff>
                    <xdr:row>177</xdr:row>
                    <xdr:rowOff>9525</xdr:rowOff>
                  </from>
                  <to>
                    <xdr:col>12</xdr:col>
                    <xdr:colOff>590550</xdr:colOff>
                    <xdr:row>178</xdr:row>
                    <xdr:rowOff>0</xdr:rowOff>
                  </to>
                </anchor>
              </controlPr>
            </control>
          </mc:Choice>
        </mc:AlternateContent>
        <mc:AlternateContent xmlns:mc="http://schemas.openxmlformats.org/markup-compatibility/2006">
          <mc:Choice Requires="x14">
            <control shapeId="4105" r:id="rId12" name="Button 9">
              <controlPr defaultSize="0" print="0" autoFill="0" autoPict="0" macro="[0]!RoofExtAddRow">
                <anchor moveWithCells="1" sizeWithCells="1">
                  <from>
                    <xdr:col>11</xdr:col>
                    <xdr:colOff>0</xdr:colOff>
                    <xdr:row>101</xdr:row>
                    <xdr:rowOff>9525</xdr:rowOff>
                  </from>
                  <to>
                    <xdr:col>13</xdr:col>
                    <xdr:colOff>0</xdr:colOff>
                    <xdr:row>102</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macro="[0]!Skylight">
                <anchor moveWithCells="1">
                  <from>
                    <xdr:col>4</xdr:col>
                    <xdr:colOff>304800</xdr:colOff>
                    <xdr:row>228</xdr:row>
                    <xdr:rowOff>19050</xdr:rowOff>
                  </from>
                  <to>
                    <xdr:col>4</xdr:col>
                    <xdr:colOff>514350</xdr:colOff>
                    <xdr:row>228</xdr:row>
                    <xdr:rowOff>180975</xdr:rowOff>
                  </to>
                </anchor>
              </controlPr>
            </control>
          </mc:Choice>
        </mc:AlternateContent>
        <mc:AlternateContent xmlns:mc="http://schemas.openxmlformats.org/markup-compatibility/2006">
          <mc:Choice Requires="x14">
            <control shapeId="4107" r:id="rId14" name="Button 11">
              <controlPr defaultSize="0" print="0" autoFill="0" autoPict="0" macro="[0]!skylightAddRow">
                <anchor moveWithCells="1" sizeWithCells="1">
                  <from>
                    <xdr:col>11</xdr:col>
                    <xdr:colOff>28575</xdr:colOff>
                    <xdr:row>229</xdr:row>
                    <xdr:rowOff>9525</xdr:rowOff>
                  </from>
                  <to>
                    <xdr:col>12</xdr:col>
                    <xdr:colOff>590550</xdr:colOff>
                    <xdr:row>230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macro="[0]!SDoors">
                <anchor moveWithCells="1">
                  <from>
                    <xdr:col>3</xdr:col>
                    <xdr:colOff>533400</xdr:colOff>
                    <xdr:row>279</xdr:row>
                    <xdr:rowOff>171450</xdr:rowOff>
                  </from>
                  <to>
                    <xdr:col>4</xdr:col>
                    <xdr:colOff>133350</xdr:colOff>
                    <xdr:row>332</xdr:row>
                    <xdr:rowOff>19050</xdr:rowOff>
                  </to>
                </anchor>
              </controlPr>
            </control>
          </mc:Choice>
        </mc:AlternateContent>
        <mc:AlternateContent xmlns:mc="http://schemas.openxmlformats.org/markup-compatibility/2006">
          <mc:Choice Requires="x14">
            <control shapeId="4109" r:id="rId16" name="Button 13">
              <controlPr defaultSize="0" print="0" autoFill="0" autoPict="0" macro="[0]!SDoorsAddRow">
                <anchor moveWithCells="1" sizeWithCells="1">
                  <from>
                    <xdr:col>11</xdr:col>
                    <xdr:colOff>28575</xdr:colOff>
                    <xdr:row>281</xdr:row>
                    <xdr:rowOff>9525</xdr:rowOff>
                  </from>
                  <to>
                    <xdr:col>12</xdr:col>
                    <xdr:colOff>590550</xdr:colOff>
                    <xdr:row>282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macro="[0]!pDoors">
                <anchor moveWithCells="1">
                  <from>
                    <xdr:col>3</xdr:col>
                    <xdr:colOff>533400</xdr:colOff>
                    <xdr:row>332</xdr:row>
                    <xdr:rowOff>28575</xdr:rowOff>
                  </from>
                  <to>
                    <xdr:col>4</xdr:col>
                    <xdr:colOff>161925</xdr:colOff>
                    <xdr:row>332</xdr:row>
                    <xdr:rowOff>180975</xdr:rowOff>
                  </to>
                </anchor>
              </controlPr>
            </control>
          </mc:Choice>
        </mc:AlternateContent>
        <mc:AlternateContent xmlns:mc="http://schemas.openxmlformats.org/markup-compatibility/2006">
          <mc:Choice Requires="x14">
            <control shapeId="4111" r:id="rId18" name="Button 15">
              <controlPr defaultSize="0" print="0" autoFill="0" autoPict="0" macro="[0]!pDoorsAddRow">
                <anchor moveWithCells="1" sizeWithCells="1">
                  <from>
                    <xdr:col>11</xdr:col>
                    <xdr:colOff>28575</xdr:colOff>
                    <xdr:row>333</xdr:row>
                    <xdr:rowOff>9525</xdr:rowOff>
                  </from>
                  <to>
                    <xdr:col>12</xdr:col>
                    <xdr:colOff>590550</xdr:colOff>
                    <xdr:row>334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macro="[0]!Rvent">
                <anchor moveWithCells="1">
                  <from>
                    <xdr:col>3</xdr:col>
                    <xdr:colOff>533400</xdr:colOff>
                    <xdr:row>384</xdr:row>
                    <xdr:rowOff>19050</xdr:rowOff>
                  </from>
                  <to>
                    <xdr:col>4</xdr:col>
                    <xdr:colOff>161925</xdr:colOff>
                    <xdr:row>384</xdr:row>
                    <xdr:rowOff>180975</xdr:rowOff>
                  </to>
                </anchor>
              </controlPr>
            </control>
          </mc:Choice>
        </mc:AlternateContent>
        <mc:AlternateContent xmlns:mc="http://schemas.openxmlformats.org/markup-compatibility/2006">
          <mc:Choice Requires="x14">
            <control shapeId="4113" r:id="rId20" name="Button 17">
              <controlPr defaultSize="0" print="0" autoFill="0" autoPict="0" macro="[0]!RventAddRow">
                <anchor moveWithCells="1" sizeWithCells="1">
                  <from>
                    <xdr:col>11</xdr:col>
                    <xdr:colOff>28575</xdr:colOff>
                    <xdr:row>385</xdr:row>
                    <xdr:rowOff>9525</xdr:rowOff>
                  </from>
                  <to>
                    <xdr:col>12</xdr:col>
                    <xdr:colOff>590550</xdr:colOff>
                    <xdr:row>386</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macro="[0]!RMonitor">
                <anchor moveWithCells="1">
                  <from>
                    <xdr:col>3</xdr:col>
                    <xdr:colOff>533400</xdr:colOff>
                    <xdr:row>436</xdr:row>
                    <xdr:rowOff>19050</xdr:rowOff>
                  </from>
                  <to>
                    <xdr:col>4</xdr:col>
                    <xdr:colOff>161925</xdr:colOff>
                    <xdr:row>436</xdr:row>
                    <xdr:rowOff>180975</xdr:rowOff>
                  </to>
                </anchor>
              </controlPr>
            </control>
          </mc:Choice>
        </mc:AlternateContent>
        <mc:AlternateContent xmlns:mc="http://schemas.openxmlformats.org/markup-compatibility/2006">
          <mc:Choice Requires="x14">
            <control shapeId="4115" r:id="rId22" name="Button 19">
              <controlPr defaultSize="0" print="0" autoFill="0" autoPict="0" macro="[0]!RMonitorAddRow">
                <anchor moveWithCells="1" sizeWithCells="1">
                  <from>
                    <xdr:col>11</xdr:col>
                    <xdr:colOff>28575</xdr:colOff>
                    <xdr:row>437</xdr:row>
                    <xdr:rowOff>9525</xdr:rowOff>
                  </from>
                  <to>
                    <xdr:col>12</xdr:col>
                    <xdr:colOff>590550</xdr:colOff>
                    <xdr:row>438</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macro="[0]!Louvers">
                <anchor moveWithCells="1">
                  <from>
                    <xdr:col>3</xdr:col>
                    <xdr:colOff>180975</xdr:colOff>
                    <xdr:row>488</xdr:row>
                    <xdr:rowOff>9525</xdr:rowOff>
                  </from>
                  <to>
                    <xdr:col>3</xdr:col>
                    <xdr:colOff>371475</xdr:colOff>
                    <xdr:row>540</xdr:row>
                    <xdr:rowOff>9525</xdr:rowOff>
                  </to>
                </anchor>
              </controlPr>
            </control>
          </mc:Choice>
        </mc:AlternateContent>
        <mc:AlternateContent xmlns:mc="http://schemas.openxmlformats.org/markup-compatibility/2006">
          <mc:Choice Requires="x14">
            <control shapeId="4117" r:id="rId24" name="Button 21">
              <controlPr defaultSize="0" print="0" autoFill="0" autoPict="0" macro="[0]!LouversAddRow">
                <anchor moveWithCells="1" sizeWithCells="1">
                  <from>
                    <xdr:col>11</xdr:col>
                    <xdr:colOff>28575</xdr:colOff>
                    <xdr:row>489</xdr:row>
                    <xdr:rowOff>0</xdr:rowOff>
                  </from>
                  <to>
                    <xdr:col>12</xdr:col>
                    <xdr:colOff>590550</xdr:colOff>
                    <xdr:row>490</xdr:row>
                    <xdr:rowOff>0</xdr:rowOff>
                  </to>
                </anchor>
              </controlPr>
            </control>
          </mc:Choice>
        </mc:AlternateContent>
        <mc:AlternateContent xmlns:mc="http://schemas.openxmlformats.org/markup-compatibility/2006">
          <mc:Choice Requires="x14">
            <control shapeId="4118" r:id="rId25" name="Check Box 22">
              <controlPr defaultSize="0" autoFill="0" autoLine="0" autoPict="0" macro="[0]!_xludf.Windows">
                <anchor moveWithCells="1">
                  <from>
                    <xdr:col>3</xdr:col>
                    <xdr:colOff>180975</xdr:colOff>
                    <xdr:row>540</xdr:row>
                    <xdr:rowOff>9525</xdr:rowOff>
                  </from>
                  <to>
                    <xdr:col>3</xdr:col>
                    <xdr:colOff>371475</xdr:colOff>
                    <xdr:row>592</xdr:row>
                    <xdr:rowOff>9525</xdr:rowOff>
                  </to>
                </anchor>
              </controlPr>
            </control>
          </mc:Choice>
        </mc:AlternateContent>
        <mc:AlternateContent xmlns:mc="http://schemas.openxmlformats.org/markup-compatibility/2006">
          <mc:Choice Requires="x14">
            <control shapeId="4119" r:id="rId26" name="Button 23">
              <controlPr defaultSize="0" print="0" autoFill="0" autoPict="0" macro="[0]!WindowsAddRow">
                <anchor moveWithCells="1" sizeWithCells="1">
                  <from>
                    <xdr:col>11</xdr:col>
                    <xdr:colOff>28575</xdr:colOff>
                    <xdr:row>541</xdr:row>
                    <xdr:rowOff>9525</xdr:rowOff>
                  </from>
                  <to>
                    <xdr:col>12</xdr:col>
                    <xdr:colOff>590550</xdr:colOff>
                    <xdr:row>542</xdr:row>
                    <xdr:rowOff>0</xdr:rowOff>
                  </to>
                </anchor>
              </controlPr>
            </control>
          </mc:Choice>
        </mc:AlternateContent>
        <mc:AlternateContent xmlns:mc="http://schemas.openxmlformats.org/markup-compatibility/2006">
          <mc:Choice Requires="x14">
            <control shapeId="4120" r:id="rId27" name="Check Box 24">
              <controlPr defaultSize="0" autoFill="0" autoLine="0" autoPict="0" macro="[0]!Accessories">
                <anchor moveWithCells="1">
                  <from>
                    <xdr:col>4</xdr:col>
                    <xdr:colOff>104775</xdr:colOff>
                    <xdr:row>592</xdr:row>
                    <xdr:rowOff>28575</xdr:rowOff>
                  </from>
                  <to>
                    <xdr:col>4</xdr:col>
                    <xdr:colOff>457200</xdr:colOff>
                    <xdr:row>592</xdr:row>
                    <xdr:rowOff>200025</xdr:rowOff>
                  </to>
                </anchor>
              </controlPr>
            </control>
          </mc:Choice>
        </mc:AlternateContent>
        <mc:AlternateContent xmlns:mc="http://schemas.openxmlformats.org/markup-compatibility/2006">
          <mc:Choice Requires="x14">
            <control shapeId="4121" r:id="rId28" name="Button 25">
              <controlPr defaultSize="0" print="0" autoFill="0" autoPict="0" macro="[0]!AccessoriesAddRow">
                <anchor moveWithCells="1" sizeWithCells="1">
                  <from>
                    <xdr:col>11</xdr:col>
                    <xdr:colOff>28575</xdr:colOff>
                    <xdr:row>593</xdr:row>
                    <xdr:rowOff>9525</xdr:rowOff>
                  </from>
                  <to>
                    <xdr:col>12</xdr:col>
                    <xdr:colOff>590550</xdr:colOff>
                    <xdr:row>593</xdr:row>
                    <xdr:rowOff>190500</xdr:rowOff>
                  </to>
                </anchor>
              </controlPr>
            </control>
          </mc:Choice>
        </mc:AlternateContent>
        <mc:AlternateContent xmlns:mc="http://schemas.openxmlformats.org/markup-compatibility/2006">
          <mc:Choice Requires="x14">
            <control shapeId="4122" r:id="rId29" name="Button 26">
              <controlPr defaultSize="0" print="0" autoFill="0" autoPict="0" macro="[0]!BA">
                <anchor moveWithCells="1">
                  <from>
                    <xdr:col>2</xdr:col>
                    <xdr:colOff>0</xdr:colOff>
                    <xdr:row>8</xdr:row>
                    <xdr:rowOff>19050</xdr:rowOff>
                  </from>
                  <to>
                    <xdr:col>6</xdr:col>
                    <xdr:colOff>0</xdr:colOff>
                    <xdr:row>9</xdr:row>
                    <xdr:rowOff>180975</xdr:rowOff>
                  </to>
                </anchor>
              </controlPr>
            </control>
          </mc:Choice>
        </mc:AlternateContent>
        <mc:AlternateContent xmlns:mc="http://schemas.openxmlformats.org/markup-compatibility/2006">
          <mc:Choice Requires="x14">
            <control shapeId="4124" r:id="rId30" name="Button 28">
              <controlPr defaultSize="0" print="0" autoFill="0" autoPict="0" macro="[0]!AdjustPage">
                <anchor moveWithCells="1" sizeWithCells="1">
                  <from>
                    <xdr:col>2</xdr:col>
                    <xdr:colOff>0</xdr:colOff>
                    <xdr:row>2</xdr:row>
                    <xdr:rowOff>104775</xdr:rowOff>
                  </from>
                  <to>
                    <xdr:col>4</xdr:col>
                    <xdr:colOff>209550</xdr:colOff>
                    <xdr:row>3</xdr:row>
                    <xdr:rowOff>161925</xdr:rowOff>
                  </to>
                </anchor>
              </controlPr>
            </control>
          </mc:Choice>
        </mc:AlternateContent>
        <mc:AlternateContent xmlns:mc="http://schemas.openxmlformats.org/markup-compatibility/2006">
          <mc:Choice Requires="x14">
            <control shapeId="4126" r:id="rId31" name="Check Box 30">
              <controlPr defaultSize="0" autoFill="0" autoLine="0" autoPict="0" macro="[0]!WallCondition" altText="">
                <anchor moveWithCells="1">
                  <from>
                    <xdr:col>4</xdr:col>
                    <xdr:colOff>161925</xdr:colOff>
                    <xdr:row>52</xdr:row>
                    <xdr:rowOff>9525</xdr:rowOff>
                  </from>
                  <to>
                    <xdr:col>4</xdr:col>
                    <xdr:colOff>342900</xdr:colOff>
                    <xdr:row>57</xdr:row>
                    <xdr:rowOff>9525</xdr:rowOff>
                  </to>
                </anchor>
              </controlPr>
            </control>
          </mc:Choice>
        </mc:AlternateContent>
        <mc:AlternateContent xmlns:mc="http://schemas.openxmlformats.org/markup-compatibility/2006">
          <mc:Choice Requires="x14">
            <control shapeId="4127" r:id="rId32" name="Check Box 31">
              <controlPr defaultSize="0" autoFill="0" autoLine="0" autoPict="0" macro="[0]!WallCondition" altText="">
                <anchor moveWithCells="1">
                  <from>
                    <xdr:col>4</xdr:col>
                    <xdr:colOff>161925</xdr:colOff>
                    <xdr:row>57</xdr:row>
                    <xdr:rowOff>19050</xdr:rowOff>
                  </from>
                  <to>
                    <xdr:col>4</xdr:col>
                    <xdr:colOff>342900</xdr:colOff>
                    <xdr:row>58</xdr:row>
                    <xdr:rowOff>0</xdr:rowOff>
                  </to>
                </anchor>
              </controlPr>
            </control>
          </mc:Choice>
        </mc:AlternateContent>
        <mc:AlternateContent xmlns:mc="http://schemas.openxmlformats.org/markup-compatibility/2006">
          <mc:Choice Requires="x14">
            <control shapeId="4128" r:id="rId33" name="Check Box 32">
              <controlPr defaultSize="0" autoFill="0" autoLine="0" autoPict="0" macro="[0]!WallCondition" altText="">
                <anchor moveWithCells="1">
                  <from>
                    <xdr:col>4</xdr:col>
                    <xdr:colOff>161925</xdr:colOff>
                    <xdr:row>62</xdr:row>
                    <xdr:rowOff>19050</xdr:rowOff>
                  </from>
                  <to>
                    <xdr:col>4</xdr:col>
                    <xdr:colOff>342900</xdr:colOff>
                    <xdr:row>67</xdr:row>
                    <xdr:rowOff>19050</xdr:rowOff>
                  </to>
                </anchor>
              </controlPr>
            </control>
          </mc:Choice>
        </mc:AlternateContent>
        <mc:AlternateContent xmlns:mc="http://schemas.openxmlformats.org/markup-compatibility/2006">
          <mc:Choice Requires="x14">
            <control shapeId="4129" r:id="rId34" name="Check Box 33">
              <controlPr defaultSize="0" autoFill="0" autoLine="0" autoPict="0" macro="[0]!WallCondition" altText="">
                <anchor moveWithCells="1">
                  <from>
                    <xdr:col>4</xdr:col>
                    <xdr:colOff>161925</xdr:colOff>
                    <xdr:row>67</xdr:row>
                    <xdr:rowOff>9525</xdr:rowOff>
                  </from>
                  <to>
                    <xdr:col>4</xdr:col>
                    <xdr:colOff>352425</xdr:colOff>
                    <xdr:row>71</xdr:row>
                    <xdr:rowOff>9525</xdr:rowOff>
                  </to>
                </anchor>
              </controlPr>
            </control>
          </mc:Choice>
        </mc:AlternateContent>
        <mc:AlternateContent xmlns:mc="http://schemas.openxmlformats.org/markup-compatibility/2006">
          <mc:Choice Requires="x14">
            <control shapeId="4130" r:id="rId35" name="Check Box 34">
              <controlPr defaultSize="0" autoFill="0" autoLine="0" autoPict="0" macro="[0]!BuildingPara" altText="">
                <anchor moveWithCells="1">
                  <from>
                    <xdr:col>6</xdr:col>
                    <xdr:colOff>57150</xdr:colOff>
                    <xdr:row>10</xdr:row>
                    <xdr:rowOff>66675</xdr:rowOff>
                  </from>
                  <to>
                    <xdr:col>6</xdr:col>
                    <xdr:colOff>228600</xdr:colOff>
                    <xdr:row>10</xdr:row>
                    <xdr:rowOff>266700</xdr:rowOff>
                  </to>
                </anchor>
              </controlPr>
            </control>
          </mc:Choice>
        </mc:AlternateContent>
        <mc:AlternateContent xmlns:mc="http://schemas.openxmlformats.org/markup-compatibility/2006">
          <mc:Choice Requires="x14">
            <control shapeId="4132" r:id="rId36" name="Button 36">
              <controlPr defaultSize="0" print="0" autoFill="0" autoPict="0" macro="[0]!ClearAll">
                <anchor moveWithCells="1" sizeWithCells="1">
                  <from>
                    <xdr:col>10</xdr:col>
                    <xdr:colOff>581025</xdr:colOff>
                    <xdr:row>8</xdr:row>
                    <xdr:rowOff>19050</xdr:rowOff>
                  </from>
                  <to>
                    <xdr:col>12</xdr:col>
                    <xdr:colOff>581025</xdr:colOff>
                    <xdr:row>9</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K2575"/>
  <sheetViews>
    <sheetView zoomScale="40" zoomScaleNormal="40" workbookViewId="0">
      <selection activeCell="C3" sqref="C3:D500"/>
    </sheetView>
  </sheetViews>
  <sheetFormatPr defaultRowHeight="21" x14ac:dyDescent="0.35"/>
  <cols>
    <col min="3" max="3" width="8.7265625" style="55"/>
    <col min="4" max="4" width="4.453125" style="55" customWidth="1"/>
    <col min="5" max="5" width="8.7265625" style="55"/>
  </cols>
  <sheetData>
    <row r="1" spans="1:11" x14ac:dyDescent="0.35">
      <c r="A1" t="s">
        <v>443</v>
      </c>
      <c r="B1" t="str">
        <f>"B"&amp;TEXT(CellA2,"00")&amp;" - "&amp;"A"&amp;TEXT(CellA3,"00")</f>
        <v>B01 - A01</v>
      </c>
      <c r="C1"/>
      <c r="D1"/>
      <c r="E1"/>
      <c r="F1">
        <f>IF(AND(CellA2=A2,CellA3=A3),1,99999)</f>
        <v>1</v>
      </c>
      <c r="G1" t="s">
        <v>351</v>
      </c>
      <c r="I1" t="s">
        <v>352</v>
      </c>
      <c r="K1" t="s">
        <v>353</v>
      </c>
    </row>
    <row r="2" spans="1:11" x14ac:dyDescent="0.35">
      <c r="A2" t="str">
        <f>MID(CellA1,2,2)</f>
        <v>01</v>
      </c>
      <c r="B2" s="49" t="s">
        <v>354</v>
      </c>
      <c r="C2" s="48">
        <f>COUNT(C3:C500)</f>
        <v>1</v>
      </c>
      <c r="D2" s="48">
        <f>COUNT(D3:D500)</f>
        <v>1</v>
      </c>
      <c r="E2">
        <f>COUNTIF(E3:E500,B1)</f>
        <v>1</v>
      </c>
      <c r="F2">
        <f>IF(ISNA(VLOOKUP(B1,BAArray,3,FALSE)),99999,VLOOKUP(B1,BAArray,3,FALSE)+2)</f>
        <v>3</v>
      </c>
    </row>
    <row r="3" spans="1:11" x14ac:dyDescent="0.35">
      <c r="A3" t="str">
        <f>MID(CellA1,6,2)</f>
        <v>01</v>
      </c>
      <c r="B3" s="49" t="s">
        <v>354</v>
      </c>
      <c r="C3" s="47">
        <v>1</v>
      </c>
      <c r="D3" s="47">
        <v>1</v>
      </c>
      <c r="E3" s="60" t="str">
        <f t="shared" ref="E3:E8" si="0">IF(C3="","","B"&amp;TEXT(C3,"00")&amp;IF(AND(D3=1,OR(D4=1,D4=""))," - A01"," - "&amp;"A"&amp;TEXT(D3,"00")))</f>
        <v>B01 - A01</v>
      </c>
      <c r="F3" s="60" t="str">
        <f>"B"&amp;TEXT(C3,"00")&amp;"-"&amp;"A"&amp;TEXT(D3,"00")</f>
        <v>B01-A01</v>
      </c>
      <c r="G3">
        <v>1</v>
      </c>
      <c r="I3">
        <f>COUNT(I10:YY10000)</f>
        <v>414</v>
      </c>
    </row>
    <row r="4" spans="1:11" x14ac:dyDescent="0.35">
      <c r="C4" s="47"/>
      <c r="D4" s="47"/>
      <c r="E4" s="60" t="str">
        <f t="shared" si="0"/>
        <v/>
      </c>
      <c r="F4" s="60" t="str">
        <f t="shared" ref="F4:F14" si="1">"B"&amp;TEXT(C4,"00")&amp;"-"&amp;"A"&amp;TEXT(D4,"00")</f>
        <v>B00-A00</v>
      </c>
      <c r="G4">
        <v>2</v>
      </c>
    </row>
    <row r="5" spans="1:11" x14ac:dyDescent="0.35">
      <c r="C5" s="47"/>
      <c r="D5" s="47"/>
      <c r="E5" s="60" t="str">
        <f t="shared" si="0"/>
        <v/>
      </c>
      <c r="F5" s="60" t="str">
        <f t="shared" si="1"/>
        <v>B00-A00</v>
      </c>
      <c r="G5">
        <v>3</v>
      </c>
    </row>
    <row r="6" spans="1:11" x14ac:dyDescent="0.35">
      <c r="B6">
        <v>1</v>
      </c>
      <c r="C6" s="47"/>
      <c r="D6" s="47"/>
      <c r="E6" s="60" t="str">
        <f t="shared" si="0"/>
        <v/>
      </c>
      <c r="F6" s="60" t="str">
        <f t="shared" si="1"/>
        <v>B00-A00</v>
      </c>
      <c r="G6">
        <v>4</v>
      </c>
    </row>
    <row r="7" spans="1:11" x14ac:dyDescent="0.35">
      <c r="B7">
        <v>1</v>
      </c>
      <c r="C7" s="47"/>
      <c r="D7" s="47"/>
      <c r="E7" s="60" t="str">
        <f t="shared" si="0"/>
        <v/>
      </c>
      <c r="F7" s="60" t="str">
        <f t="shared" si="1"/>
        <v>B00-A00</v>
      </c>
      <c r="G7">
        <v>5</v>
      </c>
    </row>
    <row r="8" spans="1:11" x14ac:dyDescent="0.35">
      <c r="C8" s="47"/>
      <c r="D8" s="47"/>
      <c r="E8" s="60" t="str">
        <f t="shared" si="0"/>
        <v/>
      </c>
      <c r="F8" s="60" t="str">
        <f t="shared" si="1"/>
        <v>B00-A00</v>
      </c>
      <c r="G8">
        <v>6</v>
      </c>
      <c r="I8">
        <v>5</v>
      </c>
      <c r="J8">
        <v>43</v>
      </c>
      <c r="K8" s="60">
        <f>I8+J8</f>
        <v>48</v>
      </c>
    </row>
    <row r="9" spans="1:11" x14ac:dyDescent="0.35">
      <c r="C9" s="47"/>
      <c r="D9" s="47"/>
      <c r="E9" s="60" t="str">
        <f t="shared" ref="E9:E72" si="2">IF(C9="","","B"&amp;TEXT(C9,"00")&amp;IF(AND(D9=1,OR(D10=1,D10=""))," - A01"," - "&amp;"A"&amp;TEXT(D9,"00")))</f>
        <v/>
      </c>
      <c r="F9" s="60" t="str">
        <f t="shared" si="1"/>
        <v>B00-A00</v>
      </c>
      <c r="G9">
        <v>7</v>
      </c>
    </row>
    <row r="10" spans="1:11" x14ac:dyDescent="0.35">
      <c r="C10" s="47"/>
      <c r="D10" s="47"/>
      <c r="E10" s="60" t="str">
        <f t="shared" si="2"/>
        <v/>
      </c>
      <c r="F10" s="60" t="str">
        <f t="shared" si="1"/>
        <v>B00-A00</v>
      </c>
      <c r="G10">
        <v>8</v>
      </c>
    </row>
    <row r="11" spans="1:11" x14ac:dyDescent="0.35">
      <c r="C11" s="47"/>
      <c r="D11" s="47"/>
      <c r="E11" s="60" t="str">
        <f t="shared" si="2"/>
        <v/>
      </c>
      <c r="F11" s="60" t="str">
        <f t="shared" si="1"/>
        <v>B00-A00</v>
      </c>
      <c r="G11">
        <v>9</v>
      </c>
    </row>
    <row r="12" spans="1:11" x14ac:dyDescent="0.35">
      <c r="C12" s="47"/>
      <c r="D12" s="47"/>
      <c r="E12" s="60" t="str">
        <f t="shared" si="2"/>
        <v/>
      </c>
      <c r="F12" s="60" t="str">
        <f t="shared" si="1"/>
        <v>B00-A00</v>
      </c>
      <c r="G12">
        <v>10</v>
      </c>
    </row>
    <row r="13" spans="1:11" x14ac:dyDescent="0.35">
      <c r="C13" s="47"/>
      <c r="D13" s="47"/>
      <c r="E13" s="60" t="str">
        <f t="shared" si="2"/>
        <v/>
      </c>
      <c r="F13" s="60" t="str">
        <f t="shared" si="1"/>
        <v>B00-A00</v>
      </c>
      <c r="G13">
        <v>11</v>
      </c>
    </row>
    <row r="14" spans="1:11" x14ac:dyDescent="0.35">
      <c r="C14" s="47"/>
      <c r="D14" s="47"/>
      <c r="E14" s="60" t="str">
        <f t="shared" si="2"/>
        <v/>
      </c>
      <c r="F14" s="60" t="str">
        <f t="shared" si="1"/>
        <v>B00-A00</v>
      </c>
      <c r="G14">
        <v>12</v>
      </c>
      <c r="K14" s="60"/>
    </row>
    <row r="15" spans="1:11" x14ac:dyDescent="0.35">
      <c r="C15" s="47"/>
      <c r="D15" s="47"/>
      <c r="E15" s="60" t="str">
        <f t="shared" si="2"/>
        <v/>
      </c>
      <c r="F15" s="60" t="str">
        <f t="shared" ref="F15:F78" si="3">"B"&amp;TEXT(C15,"00")&amp;"-"&amp;"A"&amp;TEXT(D15,"00")</f>
        <v>B00-A00</v>
      </c>
      <c r="G15">
        <v>13</v>
      </c>
      <c r="K15" s="60"/>
    </row>
    <row r="16" spans="1:11" x14ac:dyDescent="0.35">
      <c r="C16" s="47"/>
      <c r="D16" s="47"/>
      <c r="E16" s="60" t="str">
        <f t="shared" si="2"/>
        <v/>
      </c>
      <c r="F16" s="60" t="str">
        <f t="shared" si="3"/>
        <v>B00-A00</v>
      </c>
      <c r="G16">
        <v>14</v>
      </c>
      <c r="K16" s="60"/>
    </row>
    <row r="17" spans="3:11" x14ac:dyDescent="0.35">
      <c r="C17" s="47"/>
      <c r="D17" s="47"/>
      <c r="E17" s="60" t="str">
        <f t="shared" si="2"/>
        <v/>
      </c>
      <c r="F17" s="60" t="str">
        <f>"B"&amp;TEXT(C17,"00")&amp;"-"&amp;"A"&amp;TEXT(D17,"00")</f>
        <v>B00-A00</v>
      </c>
      <c r="G17">
        <v>15</v>
      </c>
      <c r="K17" s="60"/>
    </row>
    <row r="18" spans="3:11" x14ac:dyDescent="0.35">
      <c r="C18" s="47"/>
      <c r="D18" s="47"/>
      <c r="E18" s="60" t="str">
        <f t="shared" si="2"/>
        <v/>
      </c>
      <c r="F18" s="60" t="str">
        <f t="shared" si="3"/>
        <v>B00-A00</v>
      </c>
      <c r="G18">
        <v>16</v>
      </c>
      <c r="K18" s="60"/>
    </row>
    <row r="19" spans="3:11" x14ac:dyDescent="0.35">
      <c r="C19" s="47"/>
      <c r="D19" s="47"/>
      <c r="E19" s="60" t="str">
        <f t="shared" si="2"/>
        <v/>
      </c>
      <c r="F19" s="60" t="str">
        <f t="shared" si="3"/>
        <v>B00-A00</v>
      </c>
      <c r="G19">
        <v>17</v>
      </c>
      <c r="K19" s="60"/>
    </row>
    <row r="20" spans="3:11" x14ac:dyDescent="0.35">
      <c r="C20" s="47"/>
      <c r="D20" s="47"/>
      <c r="E20" s="60" t="str">
        <f t="shared" si="2"/>
        <v/>
      </c>
      <c r="F20" s="60" t="str">
        <f t="shared" si="3"/>
        <v>B00-A00</v>
      </c>
      <c r="G20">
        <v>18</v>
      </c>
      <c r="K20" s="60"/>
    </row>
    <row r="21" spans="3:11" x14ac:dyDescent="0.35">
      <c r="C21" s="47"/>
      <c r="D21" s="47"/>
      <c r="E21" s="60" t="str">
        <f t="shared" si="2"/>
        <v/>
      </c>
      <c r="F21" s="60" t="str">
        <f t="shared" si="3"/>
        <v>B00-A00</v>
      </c>
      <c r="G21">
        <v>19</v>
      </c>
      <c r="K21" s="60"/>
    </row>
    <row r="22" spans="3:11" x14ac:dyDescent="0.35">
      <c r="C22" s="47"/>
      <c r="D22" s="47"/>
      <c r="E22" s="60" t="str">
        <f t="shared" si="2"/>
        <v/>
      </c>
      <c r="F22" s="60" t="str">
        <f t="shared" si="3"/>
        <v>B00-A00</v>
      </c>
      <c r="G22">
        <v>20</v>
      </c>
    </row>
    <row r="23" spans="3:11" x14ac:dyDescent="0.35">
      <c r="C23" s="47"/>
      <c r="D23" s="47"/>
      <c r="E23" s="60" t="str">
        <f t="shared" si="2"/>
        <v/>
      </c>
      <c r="F23" t="str">
        <f t="shared" si="3"/>
        <v>B00-A00</v>
      </c>
      <c r="G23">
        <v>21</v>
      </c>
    </row>
    <row r="24" spans="3:11" x14ac:dyDescent="0.35">
      <c r="C24" s="47"/>
      <c r="D24" s="47"/>
      <c r="E24" s="60" t="str">
        <f t="shared" si="2"/>
        <v/>
      </c>
      <c r="F24" t="str">
        <f t="shared" si="3"/>
        <v>B00-A00</v>
      </c>
      <c r="G24">
        <v>22</v>
      </c>
    </row>
    <row r="25" spans="3:11" x14ac:dyDescent="0.35">
      <c r="C25" s="47"/>
      <c r="D25" s="47"/>
      <c r="E25" s="60" t="str">
        <f t="shared" si="2"/>
        <v/>
      </c>
      <c r="F25" t="str">
        <f t="shared" si="3"/>
        <v>B00-A00</v>
      </c>
      <c r="G25">
        <v>23</v>
      </c>
      <c r="J25" s="60"/>
    </row>
    <row r="26" spans="3:11" x14ac:dyDescent="0.35">
      <c r="C26" s="47"/>
      <c r="D26" s="47"/>
      <c r="E26" s="60" t="str">
        <f t="shared" si="2"/>
        <v/>
      </c>
      <c r="F26" t="str">
        <f t="shared" si="3"/>
        <v>B00-A00</v>
      </c>
      <c r="G26">
        <v>24</v>
      </c>
      <c r="J26" s="60"/>
    </row>
    <row r="27" spans="3:11" x14ac:dyDescent="0.35">
      <c r="C27" s="47"/>
      <c r="D27" s="47"/>
      <c r="E27" s="60" t="str">
        <f t="shared" si="2"/>
        <v/>
      </c>
      <c r="F27" t="str">
        <f t="shared" si="3"/>
        <v>B00-A00</v>
      </c>
      <c r="G27">
        <v>25</v>
      </c>
      <c r="J27" s="60"/>
    </row>
    <row r="28" spans="3:11" x14ac:dyDescent="0.35">
      <c r="C28" s="47"/>
      <c r="D28" s="47"/>
      <c r="E28" s="60" t="str">
        <f t="shared" si="2"/>
        <v/>
      </c>
      <c r="F28" t="str">
        <f t="shared" si="3"/>
        <v>B00-A00</v>
      </c>
      <c r="G28">
        <v>26</v>
      </c>
      <c r="J28" s="60"/>
    </row>
    <row r="29" spans="3:11" x14ac:dyDescent="0.35">
      <c r="C29" s="47"/>
      <c r="D29" s="47"/>
      <c r="E29" s="60" t="str">
        <f t="shared" si="2"/>
        <v/>
      </c>
      <c r="F29" t="str">
        <f t="shared" si="3"/>
        <v>B00-A00</v>
      </c>
      <c r="G29">
        <v>27</v>
      </c>
      <c r="J29" s="60"/>
    </row>
    <row r="30" spans="3:11" x14ac:dyDescent="0.35">
      <c r="C30" s="47"/>
      <c r="D30" s="47"/>
      <c r="E30" s="60" t="str">
        <f t="shared" si="2"/>
        <v/>
      </c>
      <c r="F30" t="str">
        <f t="shared" si="3"/>
        <v>B00-A00</v>
      </c>
      <c r="G30">
        <v>28</v>
      </c>
      <c r="J30" s="60"/>
    </row>
    <row r="31" spans="3:11" x14ac:dyDescent="0.35">
      <c r="C31" s="47"/>
      <c r="D31" s="47"/>
      <c r="E31" s="60" t="str">
        <f t="shared" si="2"/>
        <v/>
      </c>
      <c r="F31" t="str">
        <f t="shared" si="3"/>
        <v>B00-A00</v>
      </c>
      <c r="G31">
        <v>29</v>
      </c>
      <c r="J31" s="60"/>
    </row>
    <row r="32" spans="3:11" x14ac:dyDescent="0.35">
      <c r="C32"/>
      <c r="D32"/>
      <c r="E32" s="60" t="str">
        <f t="shared" si="2"/>
        <v/>
      </c>
      <c r="F32" t="str">
        <f t="shared" si="3"/>
        <v>B00-A00</v>
      </c>
      <c r="G32">
        <v>30</v>
      </c>
      <c r="J32" s="60"/>
    </row>
    <row r="33" spans="3:7" x14ac:dyDescent="0.35">
      <c r="C33"/>
      <c r="D33"/>
      <c r="E33" s="60" t="str">
        <f t="shared" si="2"/>
        <v/>
      </c>
      <c r="F33" t="str">
        <f t="shared" si="3"/>
        <v>B00-A00</v>
      </c>
      <c r="G33">
        <v>31</v>
      </c>
    </row>
    <row r="34" spans="3:7" x14ac:dyDescent="0.35">
      <c r="E34" s="60" t="str">
        <f t="shared" si="2"/>
        <v/>
      </c>
      <c r="F34" t="str">
        <f t="shared" si="3"/>
        <v>B00-A00</v>
      </c>
      <c r="G34">
        <v>32</v>
      </c>
    </row>
    <row r="35" spans="3:7" x14ac:dyDescent="0.35">
      <c r="E35" s="60" t="str">
        <f t="shared" si="2"/>
        <v/>
      </c>
      <c r="F35" t="str">
        <f t="shared" si="3"/>
        <v>B00-A00</v>
      </c>
      <c r="G35">
        <v>33</v>
      </c>
    </row>
    <row r="36" spans="3:7" x14ac:dyDescent="0.35">
      <c r="E36" s="60" t="str">
        <f t="shared" si="2"/>
        <v/>
      </c>
      <c r="F36" t="str">
        <f t="shared" si="3"/>
        <v>B00-A00</v>
      </c>
      <c r="G36">
        <v>34</v>
      </c>
    </row>
    <row r="37" spans="3:7" x14ac:dyDescent="0.35">
      <c r="E37" s="60" t="str">
        <f t="shared" si="2"/>
        <v/>
      </c>
      <c r="F37" t="str">
        <f t="shared" si="3"/>
        <v>B00-A00</v>
      </c>
      <c r="G37">
        <v>35</v>
      </c>
    </row>
    <row r="38" spans="3:7" x14ac:dyDescent="0.35">
      <c r="E38" s="60" t="str">
        <f t="shared" si="2"/>
        <v/>
      </c>
      <c r="F38" t="str">
        <f t="shared" si="3"/>
        <v>B00-A00</v>
      </c>
      <c r="G38">
        <v>36</v>
      </c>
    </row>
    <row r="39" spans="3:7" x14ac:dyDescent="0.35">
      <c r="E39" s="60" t="str">
        <f t="shared" si="2"/>
        <v/>
      </c>
      <c r="F39" t="str">
        <f t="shared" si="3"/>
        <v>B00-A00</v>
      </c>
      <c r="G39">
        <v>37</v>
      </c>
    </row>
    <row r="40" spans="3:7" x14ac:dyDescent="0.35">
      <c r="E40" s="60" t="str">
        <f t="shared" si="2"/>
        <v/>
      </c>
      <c r="F40" t="str">
        <f t="shared" si="3"/>
        <v>B00-A00</v>
      </c>
      <c r="G40">
        <v>38</v>
      </c>
    </row>
    <row r="41" spans="3:7" x14ac:dyDescent="0.35">
      <c r="E41" s="60" t="str">
        <f t="shared" si="2"/>
        <v/>
      </c>
      <c r="F41" t="str">
        <f t="shared" si="3"/>
        <v>B00-A00</v>
      </c>
      <c r="G41">
        <v>39</v>
      </c>
    </row>
    <row r="42" spans="3:7" x14ac:dyDescent="0.35">
      <c r="E42" s="60" t="str">
        <f t="shared" si="2"/>
        <v/>
      </c>
      <c r="F42" t="str">
        <f t="shared" si="3"/>
        <v>B00-A00</v>
      </c>
      <c r="G42">
        <v>40</v>
      </c>
    </row>
    <row r="43" spans="3:7" x14ac:dyDescent="0.35">
      <c r="E43" s="60" t="str">
        <f t="shared" si="2"/>
        <v/>
      </c>
      <c r="F43" t="str">
        <f t="shared" si="3"/>
        <v>B00-A00</v>
      </c>
      <c r="G43">
        <v>41</v>
      </c>
    </row>
    <row r="44" spans="3:7" x14ac:dyDescent="0.35">
      <c r="E44" s="60" t="str">
        <f t="shared" si="2"/>
        <v/>
      </c>
      <c r="F44" t="str">
        <f t="shared" si="3"/>
        <v>B00-A00</v>
      </c>
      <c r="G44">
        <v>42</v>
      </c>
    </row>
    <row r="45" spans="3:7" x14ac:dyDescent="0.35">
      <c r="E45" s="60" t="str">
        <f t="shared" si="2"/>
        <v/>
      </c>
      <c r="F45" t="str">
        <f t="shared" si="3"/>
        <v>B00-A00</v>
      </c>
      <c r="G45">
        <v>43</v>
      </c>
    </row>
    <row r="46" spans="3:7" x14ac:dyDescent="0.35">
      <c r="E46" s="60" t="str">
        <f t="shared" si="2"/>
        <v/>
      </c>
      <c r="F46" t="str">
        <f t="shared" si="3"/>
        <v>B00-A00</v>
      </c>
      <c r="G46">
        <v>44</v>
      </c>
    </row>
    <row r="47" spans="3:7" x14ac:dyDescent="0.35">
      <c r="E47" s="60" t="str">
        <f t="shared" si="2"/>
        <v/>
      </c>
      <c r="F47" t="str">
        <f t="shared" si="3"/>
        <v>B00-A00</v>
      </c>
      <c r="G47">
        <v>45</v>
      </c>
    </row>
    <row r="48" spans="3:7" x14ac:dyDescent="0.35">
      <c r="E48" s="60" t="str">
        <f t="shared" si="2"/>
        <v/>
      </c>
      <c r="F48" t="str">
        <f t="shared" si="3"/>
        <v>B00-A00</v>
      </c>
      <c r="G48">
        <v>46</v>
      </c>
    </row>
    <row r="49" spans="5:7" x14ac:dyDescent="0.35">
      <c r="E49" s="60" t="str">
        <f t="shared" si="2"/>
        <v/>
      </c>
      <c r="F49" t="str">
        <f t="shared" si="3"/>
        <v>B00-A00</v>
      </c>
      <c r="G49">
        <v>47</v>
      </c>
    </row>
    <row r="50" spans="5:7" x14ac:dyDescent="0.35">
      <c r="E50" s="60" t="str">
        <f t="shared" si="2"/>
        <v/>
      </c>
      <c r="F50" t="str">
        <f t="shared" si="3"/>
        <v>B00-A00</v>
      </c>
      <c r="G50">
        <v>48</v>
      </c>
    </row>
    <row r="51" spans="5:7" x14ac:dyDescent="0.35">
      <c r="E51" s="60" t="str">
        <f t="shared" si="2"/>
        <v/>
      </c>
      <c r="F51" t="str">
        <f t="shared" si="3"/>
        <v>B00-A00</v>
      </c>
      <c r="G51">
        <v>49</v>
      </c>
    </row>
    <row r="52" spans="5:7" x14ac:dyDescent="0.35">
      <c r="E52" s="60" t="str">
        <f t="shared" si="2"/>
        <v/>
      </c>
      <c r="F52" t="str">
        <f t="shared" si="3"/>
        <v>B00-A00</v>
      </c>
      <c r="G52">
        <v>50</v>
      </c>
    </row>
    <row r="53" spans="5:7" x14ac:dyDescent="0.35">
      <c r="E53" s="60" t="str">
        <f t="shared" si="2"/>
        <v/>
      </c>
      <c r="F53" t="str">
        <f t="shared" si="3"/>
        <v>B00-A00</v>
      </c>
      <c r="G53">
        <v>51</v>
      </c>
    </row>
    <row r="54" spans="5:7" x14ac:dyDescent="0.35">
      <c r="E54" s="60" t="str">
        <f t="shared" si="2"/>
        <v/>
      </c>
      <c r="F54" t="str">
        <f t="shared" si="3"/>
        <v>B00-A00</v>
      </c>
      <c r="G54">
        <v>52</v>
      </c>
    </row>
    <row r="55" spans="5:7" x14ac:dyDescent="0.35">
      <c r="E55" s="60" t="str">
        <f t="shared" si="2"/>
        <v/>
      </c>
      <c r="F55" t="str">
        <f t="shared" si="3"/>
        <v>B00-A00</v>
      </c>
      <c r="G55">
        <v>53</v>
      </c>
    </row>
    <row r="56" spans="5:7" x14ac:dyDescent="0.35">
      <c r="E56" s="60" t="str">
        <f t="shared" si="2"/>
        <v/>
      </c>
      <c r="F56" t="str">
        <f t="shared" si="3"/>
        <v>B00-A00</v>
      </c>
      <c r="G56">
        <v>54</v>
      </c>
    </row>
    <row r="57" spans="5:7" x14ac:dyDescent="0.35">
      <c r="E57" s="60" t="str">
        <f t="shared" si="2"/>
        <v/>
      </c>
      <c r="F57" t="str">
        <f t="shared" si="3"/>
        <v>B00-A00</v>
      </c>
      <c r="G57">
        <v>55</v>
      </c>
    </row>
    <row r="58" spans="5:7" x14ac:dyDescent="0.35">
      <c r="E58" s="60" t="str">
        <f t="shared" si="2"/>
        <v/>
      </c>
      <c r="F58" t="str">
        <f t="shared" si="3"/>
        <v>B00-A00</v>
      </c>
      <c r="G58">
        <v>56</v>
      </c>
    </row>
    <row r="59" spans="5:7" x14ac:dyDescent="0.35">
      <c r="E59" s="60" t="str">
        <f t="shared" si="2"/>
        <v/>
      </c>
      <c r="F59" t="str">
        <f t="shared" si="3"/>
        <v>B00-A00</v>
      </c>
      <c r="G59">
        <v>57</v>
      </c>
    </row>
    <row r="60" spans="5:7" x14ac:dyDescent="0.35">
      <c r="E60" s="60" t="str">
        <f t="shared" si="2"/>
        <v/>
      </c>
      <c r="F60" t="str">
        <f t="shared" si="3"/>
        <v>B00-A00</v>
      </c>
      <c r="G60">
        <v>58</v>
      </c>
    </row>
    <row r="61" spans="5:7" x14ac:dyDescent="0.35">
      <c r="E61" s="60" t="str">
        <f t="shared" si="2"/>
        <v/>
      </c>
      <c r="F61" t="str">
        <f t="shared" si="3"/>
        <v>B00-A00</v>
      </c>
      <c r="G61">
        <v>59</v>
      </c>
    </row>
    <row r="62" spans="5:7" x14ac:dyDescent="0.35">
      <c r="E62" s="60" t="str">
        <f t="shared" si="2"/>
        <v/>
      </c>
      <c r="F62" t="str">
        <f t="shared" si="3"/>
        <v>B00-A00</v>
      </c>
      <c r="G62">
        <v>60</v>
      </c>
    </row>
    <row r="63" spans="5:7" x14ac:dyDescent="0.35">
      <c r="E63" s="60" t="str">
        <f t="shared" si="2"/>
        <v/>
      </c>
      <c r="F63" t="str">
        <f t="shared" si="3"/>
        <v>B00-A00</v>
      </c>
      <c r="G63">
        <v>61</v>
      </c>
    </row>
    <row r="64" spans="5:7" x14ac:dyDescent="0.35">
      <c r="E64" s="60" t="str">
        <f t="shared" si="2"/>
        <v/>
      </c>
      <c r="F64" t="str">
        <f t="shared" si="3"/>
        <v>B00-A00</v>
      </c>
      <c r="G64">
        <v>62</v>
      </c>
    </row>
    <row r="65" spans="5:7" x14ac:dyDescent="0.35">
      <c r="E65" s="60" t="str">
        <f t="shared" si="2"/>
        <v/>
      </c>
      <c r="F65" t="str">
        <f t="shared" si="3"/>
        <v>B00-A00</v>
      </c>
      <c r="G65">
        <v>63</v>
      </c>
    </row>
    <row r="66" spans="5:7" x14ac:dyDescent="0.35">
      <c r="E66" s="60" t="str">
        <f t="shared" si="2"/>
        <v/>
      </c>
      <c r="F66" t="str">
        <f t="shared" si="3"/>
        <v>B00-A00</v>
      </c>
      <c r="G66">
        <v>64</v>
      </c>
    </row>
    <row r="67" spans="5:7" x14ac:dyDescent="0.35">
      <c r="E67" s="60" t="str">
        <f t="shared" si="2"/>
        <v/>
      </c>
      <c r="F67" t="str">
        <f t="shared" si="3"/>
        <v>B00-A00</v>
      </c>
      <c r="G67">
        <v>65</v>
      </c>
    </row>
    <row r="68" spans="5:7" x14ac:dyDescent="0.35">
      <c r="E68" s="60" t="str">
        <f t="shared" si="2"/>
        <v/>
      </c>
      <c r="F68" t="str">
        <f t="shared" si="3"/>
        <v>B00-A00</v>
      </c>
      <c r="G68">
        <v>66</v>
      </c>
    </row>
    <row r="69" spans="5:7" x14ac:dyDescent="0.35">
      <c r="E69" s="60" t="str">
        <f t="shared" si="2"/>
        <v/>
      </c>
      <c r="F69" t="str">
        <f t="shared" si="3"/>
        <v>B00-A00</v>
      </c>
      <c r="G69">
        <v>67</v>
      </c>
    </row>
    <row r="70" spans="5:7" x14ac:dyDescent="0.35">
      <c r="E70" s="60" t="str">
        <f t="shared" si="2"/>
        <v/>
      </c>
      <c r="F70" t="str">
        <f t="shared" si="3"/>
        <v>B00-A00</v>
      </c>
      <c r="G70">
        <v>68</v>
      </c>
    </row>
    <row r="71" spans="5:7" x14ac:dyDescent="0.35">
      <c r="E71" s="60" t="str">
        <f t="shared" si="2"/>
        <v/>
      </c>
      <c r="F71" t="str">
        <f t="shared" si="3"/>
        <v>B00-A00</v>
      </c>
      <c r="G71">
        <v>69</v>
      </c>
    </row>
    <row r="72" spans="5:7" x14ac:dyDescent="0.35">
      <c r="E72" s="60" t="str">
        <f t="shared" si="2"/>
        <v/>
      </c>
      <c r="F72" t="str">
        <f t="shared" si="3"/>
        <v>B00-A00</v>
      </c>
      <c r="G72">
        <v>70</v>
      </c>
    </row>
    <row r="73" spans="5:7" x14ac:dyDescent="0.35">
      <c r="E73" s="60" t="str">
        <f t="shared" ref="E73:E136" si="4">IF(C73="","","B"&amp;TEXT(C73,"00")&amp;IF(AND(D73=1,OR(D74=1,D74=""))," - A01"," - "&amp;"A"&amp;TEXT(D73,"00")))</f>
        <v/>
      </c>
      <c r="F73" t="str">
        <f t="shared" si="3"/>
        <v>B00-A00</v>
      </c>
      <c r="G73">
        <v>71</v>
      </c>
    </row>
    <row r="74" spans="5:7" x14ac:dyDescent="0.35">
      <c r="E74" s="60" t="str">
        <f t="shared" si="4"/>
        <v/>
      </c>
      <c r="F74" t="str">
        <f t="shared" si="3"/>
        <v>B00-A00</v>
      </c>
      <c r="G74">
        <v>72</v>
      </c>
    </row>
    <row r="75" spans="5:7" x14ac:dyDescent="0.35">
      <c r="E75" s="60" t="str">
        <f t="shared" si="4"/>
        <v/>
      </c>
      <c r="F75" t="str">
        <f t="shared" si="3"/>
        <v>B00-A00</v>
      </c>
      <c r="G75">
        <v>73</v>
      </c>
    </row>
    <row r="76" spans="5:7" x14ac:dyDescent="0.35">
      <c r="E76" s="60" t="str">
        <f t="shared" si="4"/>
        <v/>
      </c>
      <c r="F76" t="str">
        <f t="shared" si="3"/>
        <v>B00-A00</v>
      </c>
      <c r="G76">
        <v>74</v>
      </c>
    </row>
    <row r="77" spans="5:7" x14ac:dyDescent="0.35">
      <c r="E77" s="60" t="str">
        <f t="shared" si="4"/>
        <v/>
      </c>
      <c r="F77" t="str">
        <f t="shared" si="3"/>
        <v>B00-A00</v>
      </c>
      <c r="G77">
        <v>75</v>
      </c>
    </row>
    <row r="78" spans="5:7" x14ac:dyDescent="0.35">
      <c r="E78" s="60" t="str">
        <f t="shared" si="4"/>
        <v/>
      </c>
      <c r="F78" t="str">
        <f t="shared" si="3"/>
        <v>B00-A00</v>
      </c>
      <c r="G78">
        <v>76</v>
      </c>
    </row>
    <row r="79" spans="5:7" x14ac:dyDescent="0.35">
      <c r="E79" s="60" t="str">
        <f t="shared" si="4"/>
        <v/>
      </c>
      <c r="F79" t="str">
        <f t="shared" ref="F79:F142" si="5">"B"&amp;TEXT(C79,"00")&amp;"-"&amp;"A"&amp;TEXT(D79,"00")</f>
        <v>B00-A00</v>
      </c>
      <c r="G79">
        <v>77</v>
      </c>
    </row>
    <row r="80" spans="5:7" x14ac:dyDescent="0.35">
      <c r="E80" s="60" t="str">
        <f t="shared" si="4"/>
        <v/>
      </c>
      <c r="F80" t="str">
        <f t="shared" si="5"/>
        <v>B00-A00</v>
      </c>
      <c r="G80">
        <v>78</v>
      </c>
    </row>
    <row r="81" spans="5:7" x14ac:dyDescent="0.35">
      <c r="E81" s="60" t="str">
        <f t="shared" si="4"/>
        <v/>
      </c>
      <c r="F81" t="str">
        <f t="shared" si="5"/>
        <v>B00-A00</v>
      </c>
      <c r="G81">
        <v>79</v>
      </c>
    </row>
    <row r="82" spans="5:7" x14ac:dyDescent="0.35">
      <c r="E82" s="60" t="str">
        <f t="shared" si="4"/>
        <v/>
      </c>
      <c r="F82" t="str">
        <f t="shared" si="5"/>
        <v>B00-A00</v>
      </c>
      <c r="G82">
        <v>80</v>
      </c>
    </row>
    <row r="83" spans="5:7" x14ac:dyDescent="0.35">
      <c r="E83" s="60" t="str">
        <f t="shared" si="4"/>
        <v/>
      </c>
      <c r="F83" t="str">
        <f t="shared" si="5"/>
        <v>B00-A00</v>
      </c>
      <c r="G83">
        <v>81</v>
      </c>
    </row>
    <row r="84" spans="5:7" x14ac:dyDescent="0.35">
      <c r="E84" s="60" t="str">
        <f t="shared" si="4"/>
        <v/>
      </c>
      <c r="F84" t="str">
        <f t="shared" si="5"/>
        <v>B00-A00</v>
      </c>
      <c r="G84">
        <v>82</v>
      </c>
    </row>
    <row r="85" spans="5:7" x14ac:dyDescent="0.35">
      <c r="E85" s="60" t="str">
        <f t="shared" si="4"/>
        <v/>
      </c>
      <c r="F85" t="str">
        <f t="shared" si="5"/>
        <v>B00-A00</v>
      </c>
      <c r="G85">
        <v>83</v>
      </c>
    </row>
    <row r="86" spans="5:7" x14ac:dyDescent="0.35">
      <c r="E86" s="60" t="str">
        <f t="shared" si="4"/>
        <v/>
      </c>
      <c r="F86" t="str">
        <f t="shared" si="5"/>
        <v>B00-A00</v>
      </c>
      <c r="G86">
        <v>84</v>
      </c>
    </row>
    <row r="87" spans="5:7" x14ac:dyDescent="0.35">
      <c r="E87" s="60" t="str">
        <f t="shared" si="4"/>
        <v/>
      </c>
      <c r="F87" t="str">
        <f t="shared" si="5"/>
        <v>B00-A00</v>
      </c>
      <c r="G87">
        <v>85</v>
      </c>
    </row>
    <row r="88" spans="5:7" x14ac:dyDescent="0.35">
      <c r="E88" s="60" t="str">
        <f t="shared" si="4"/>
        <v/>
      </c>
      <c r="F88" t="str">
        <f t="shared" si="5"/>
        <v>B00-A00</v>
      </c>
      <c r="G88">
        <v>86</v>
      </c>
    </row>
    <row r="89" spans="5:7" x14ac:dyDescent="0.35">
      <c r="E89" s="60" t="str">
        <f t="shared" si="4"/>
        <v/>
      </c>
      <c r="F89" t="str">
        <f t="shared" si="5"/>
        <v>B00-A00</v>
      </c>
      <c r="G89">
        <v>87</v>
      </c>
    </row>
    <row r="90" spans="5:7" x14ac:dyDescent="0.35">
      <c r="E90" s="60" t="str">
        <f t="shared" si="4"/>
        <v/>
      </c>
      <c r="F90" t="str">
        <f t="shared" si="5"/>
        <v>B00-A00</v>
      </c>
      <c r="G90">
        <v>88</v>
      </c>
    </row>
    <row r="91" spans="5:7" x14ac:dyDescent="0.35">
      <c r="E91" s="60" t="str">
        <f t="shared" si="4"/>
        <v/>
      </c>
      <c r="F91" t="str">
        <f t="shared" si="5"/>
        <v>B00-A00</v>
      </c>
      <c r="G91">
        <v>89</v>
      </c>
    </row>
    <row r="92" spans="5:7" x14ac:dyDescent="0.35">
      <c r="E92" s="60" t="str">
        <f t="shared" si="4"/>
        <v/>
      </c>
      <c r="F92" t="str">
        <f t="shared" si="5"/>
        <v>B00-A00</v>
      </c>
      <c r="G92">
        <v>90</v>
      </c>
    </row>
    <row r="93" spans="5:7" x14ac:dyDescent="0.35">
      <c r="E93" s="60" t="str">
        <f t="shared" si="4"/>
        <v/>
      </c>
      <c r="F93" t="str">
        <f t="shared" si="5"/>
        <v>B00-A00</v>
      </c>
      <c r="G93">
        <v>91</v>
      </c>
    </row>
    <row r="94" spans="5:7" x14ac:dyDescent="0.35">
      <c r="E94" s="60" t="str">
        <f t="shared" si="4"/>
        <v/>
      </c>
      <c r="F94" t="str">
        <f t="shared" si="5"/>
        <v>B00-A00</v>
      </c>
      <c r="G94">
        <v>92</v>
      </c>
    </row>
    <row r="95" spans="5:7" x14ac:dyDescent="0.35">
      <c r="E95" s="60" t="str">
        <f t="shared" si="4"/>
        <v/>
      </c>
      <c r="F95" t="str">
        <f t="shared" si="5"/>
        <v>B00-A00</v>
      </c>
      <c r="G95">
        <v>93</v>
      </c>
    </row>
    <row r="96" spans="5:7" x14ac:dyDescent="0.35">
      <c r="E96" s="60" t="str">
        <f t="shared" si="4"/>
        <v/>
      </c>
      <c r="F96" t="str">
        <f t="shared" si="5"/>
        <v>B00-A00</v>
      </c>
      <c r="G96">
        <v>94</v>
      </c>
    </row>
    <row r="97" spans="5:7" x14ac:dyDescent="0.35">
      <c r="E97" s="60" t="str">
        <f t="shared" si="4"/>
        <v/>
      </c>
      <c r="F97" t="str">
        <f t="shared" si="5"/>
        <v>B00-A00</v>
      </c>
      <c r="G97">
        <v>95</v>
      </c>
    </row>
    <row r="98" spans="5:7" x14ac:dyDescent="0.35">
      <c r="E98" s="60" t="str">
        <f t="shared" si="4"/>
        <v/>
      </c>
      <c r="F98" t="str">
        <f t="shared" si="5"/>
        <v>B00-A00</v>
      </c>
      <c r="G98">
        <v>96</v>
      </c>
    </row>
    <row r="99" spans="5:7" x14ac:dyDescent="0.35">
      <c r="E99" s="60" t="str">
        <f t="shared" si="4"/>
        <v/>
      </c>
      <c r="F99" t="str">
        <f t="shared" si="5"/>
        <v>B00-A00</v>
      </c>
      <c r="G99">
        <v>97</v>
      </c>
    </row>
    <row r="100" spans="5:7" x14ac:dyDescent="0.35">
      <c r="E100" s="60" t="str">
        <f t="shared" si="4"/>
        <v/>
      </c>
      <c r="F100" t="str">
        <f t="shared" si="5"/>
        <v>B00-A00</v>
      </c>
      <c r="G100">
        <v>98</v>
      </c>
    </row>
    <row r="101" spans="5:7" x14ac:dyDescent="0.35">
      <c r="E101" s="60" t="str">
        <f t="shared" si="4"/>
        <v/>
      </c>
      <c r="F101" t="str">
        <f t="shared" si="5"/>
        <v>B00-A00</v>
      </c>
      <c r="G101">
        <v>99</v>
      </c>
    </row>
    <row r="102" spans="5:7" x14ac:dyDescent="0.35">
      <c r="E102" s="60" t="str">
        <f t="shared" si="4"/>
        <v/>
      </c>
      <c r="F102" t="str">
        <f t="shared" si="5"/>
        <v>B00-A00</v>
      </c>
      <c r="G102">
        <v>100</v>
      </c>
    </row>
    <row r="103" spans="5:7" x14ac:dyDescent="0.35">
      <c r="E103" s="60" t="str">
        <f t="shared" si="4"/>
        <v/>
      </c>
      <c r="F103" t="str">
        <f t="shared" si="5"/>
        <v>B00-A00</v>
      </c>
      <c r="G103">
        <v>101</v>
      </c>
    </row>
    <row r="104" spans="5:7" x14ac:dyDescent="0.35">
      <c r="E104" s="60" t="str">
        <f t="shared" si="4"/>
        <v/>
      </c>
      <c r="F104" t="str">
        <f t="shared" si="5"/>
        <v>B00-A00</v>
      </c>
      <c r="G104">
        <v>102</v>
      </c>
    </row>
    <row r="105" spans="5:7" x14ac:dyDescent="0.35">
      <c r="E105" s="60" t="str">
        <f t="shared" si="4"/>
        <v/>
      </c>
      <c r="F105" t="str">
        <f t="shared" si="5"/>
        <v>B00-A00</v>
      </c>
      <c r="G105">
        <v>103</v>
      </c>
    </row>
    <row r="106" spans="5:7" x14ac:dyDescent="0.35">
      <c r="E106" s="60" t="str">
        <f t="shared" si="4"/>
        <v/>
      </c>
      <c r="F106" t="str">
        <f t="shared" si="5"/>
        <v>B00-A00</v>
      </c>
      <c r="G106">
        <v>104</v>
      </c>
    </row>
    <row r="107" spans="5:7" x14ac:dyDescent="0.35">
      <c r="E107" s="60" t="str">
        <f t="shared" si="4"/>
        <v/>
      </c>
      <c r="F107" t="str">
        <f t="shared" si="5"/>
        <v>B00-A00</v>
      </c>
      <c r="G107">
        <v>105</v>
      </c>
    </row>
    <row r="108" spans="5:7" x14ac:dyDescent="0.35">
      <c r="E108" s="60" t="str">
        <f t="shared" si="4"/>
        <v/>
      </c>
      <c r="F108" t="str">
        <f t="shared" si="5"/>
        <v>B00-A00</v>
      </c>
      <c r="G108">
        <v>106</v>
      </c>
    </row>
    <row r="109" spans="5:7" x14ac:dyDescent="0.35">
      <c r="E109" s="60" t="str">
        <f t="shared" si="4"/>
        <v/>
      </c>
      <c r="F109" t="str">
        <f t="shared" si="5"/>
        <v>B00-A00</v>
      </c>
      <c r="G109">
        <v>107</v>
      </c>
    </row>
    <row r="110" spans="5:7" x14ac:dyDescent="0.35">
      <c r="E110" s="60" t="str">
        <f t="shared" si="4"/>
        <v/>
      </c>
      <c r="F110" t="str">
        <f t="shared" si="5"/>
        <v>B00-A00</v>
      </c>
      <c r="G110">
        <v>108</v>
      </c>
    </row>
    <row r="111" spans="5:7" x14ac:dyDescent="0.35">
      <c r="E111" s="60" t="str">
        <f t="shared" si="4"/>
        <v/>
      </c>
      <c r="F111" t="str">
        <f t="shared" si="5"/>
        <v>B00-A00</v>
      </c>
      <c r="G111">
        <v>109</v>
      </c>
    </row>
    <row r="112" spans="5:7" x14ac:dyDescent="0.35">
      <c r="E112" s="60" t="str">
        <f t="shared" si="4"/>
        <v/>
      </c>
      <c r="F112" t="str">
        <f t="shared" si="5"/>
        <v>B00-A00</v>
      </c>
      <c r="G112">
        <v>110</v>
      </c>
    </row>
    <row r="113" spans="5:7" x14ac:dyDescent="0.35">
      <c r="E113" s="60" t="str">
        <f t="shared" si="4"/>
        <v/>
      </c>
      <c r="F113" t="str">
        <f t="shared" si="5"/>
        <v>B00-A00</v>
      </c>
      <c r="G113">
        <v>111</v>
      </c>
    </row>
    <row r="114" spans="5:7" x14ac:dyDescent="0.35">
      <c r="E114" s="60" t="str">
        <f t="shared" si="4"/>
        <v/>
      </c>
      <c r="F114" t="str">
        <f t="shared" si="5"/>
        <v>B00-A00</v>
      </c>
      <c r="G114">
        <v>112</v>
      </c>
    </row>
    <row r="115" spans="5:7" x14ac:dyDescent="0.35">
      <c r="E115" s="60" t="str">
        <f t="shared" si="4"/>
        <v/>
      </c>
      <c r="F115" t="str">
        <f t="shared" si="5"/>
        <v>B00-A00</v>
      </c>
      <c r="G115">
        <v>113</v>
      </c>
    </row>
    <row r="116" spans="5:7" x14ac:dyDescent="0.35">
      <c r="E116" s="60" t="str">
        <f t="shared" si="4"/>
        <v/>
      </c>
      <c r="F116" t="str">
        <f t="shared" si="5"/>
        <v>B00-A00</v>
      </c>
      <c r="G116">
        <v>114</v>
      </c>
    </row>
    <row r="117" spans="5:7" x14ac:dyDescent="0.35">
      <c r="E117" s="60" t="str">
        <f t="shared" si="4"/>
        <v/>
      </c>
      <c r="F117" t="str">
        <f t="shared" si="5"/>
        <v>B00-A00</v>
      </c>
      <c r="G117">
        <v>115</v>
      </c>
    </row>
    <row r="118" spans="5:7" x14ac:dyDescent="0.35">
      <c r="E118" s="60" t="str">
        <f t="shared" si="4"/>
        <v/>
      </c>
      <c r="F118" t="str">
        <f t="shared" si="5"/>
        <v>B00-A00</v>
      </c>
      <c r="G118">
        <v>116</v>
      </c>
    </row>
    <row r="119" spans="5:7" x14ac:dyDescent="0.35">
      <c r="E119" s="60" t="str">
        <f t="shared" si="4"/>
        <v/>
      </c>
      <c r="F119" t="str">
        <f t="shared" si="5"/>
        <v>B00-A00</v>
      </c>
      <c r="G119">
        <v>117</v>
      </c>
    </row>
    <row r="120" spans="5:7" x14ac:dyDescent="0.35">
      <c r="E120" s="60" t="str">
        <f t="shared" si="4"/>
        <v/>
      </c>
      <c r="F120" t="str">
        <f t="shared" si="5"/>
        <v>B00-A00</v>
      </c>
      <c r="G120">
        <v>118</v>
      </c>
    </row>
    <row r="121" spans="5:7" x14ac:dyDescent="0.35">
      <c r="E121" s="60" t="str">
        <f t="shared" si="4"/>
        <v/>
      </c>
      <c r="F121" t="str">
        <f t="shared" si="5"/>
        <v>B00-A00</v>
      </c>
      <c r="G121">
        <v>119</v>
      </c>
    </row>
    <row r="122" spans="5:7" x14ac:dyDescent="0.35">
      <c r="E122" s="60" t="str">
        <f t="shared" si="4"/>
        <v/>
      </c>
      <c r="F122" t="str">
        <f t="shared" si="5"/>
        <v>B00-A00</v>
      </c>
      <c r="G122">
        <v>120</v>
      </c>
    </row>
    <row r="123" spans="5:7" x14ac:dyDescent="0.35">
      <c r="E123" s="60" t="str">
        <f t="shared" si="4"/>
        <v/>
      </c>
      <c r="F123" t="str">
        <f t="shared" si="5"/>
        <v>B00-A00</v>
      </c>
      <c r="G123">
        <v>121</v>
      </c>
    </row>
    <row r="124" spans="5:7" x14ac:dyDescent="0.35">
      <c r="E124" s="60" t="str">
        <f t="shared" si="4"/>
        <v/>
      </c>
      <c r="F124" t="str">
        <f t="shared" si="5"/>
        <v>B00-A00</v>
      </c>
      <c r="G124">
        <v>122</v>
      </c>
    </row>
    <row r="125" spans="5:7" x14ac:dyDescent="0.35">
      <c r="E125" s="60" t="str">
        <f t="shared" si="4"/>
        <v/>
      </c>
      <c r="F125" t="str">
        <f t="shared" si="5"/>
        <v>B00-A00</v>
      </c>
      <c r="G125">
        <v>123</v>
      </c>
    </row>
    <row r="126" spans="5:7" x14ac:dyDescent="0.35">
      <c r="E126" s="60" t="str">
        <f t="shared" si="4"/>
        <v/>
      </c>
      <c r="F126" t="str">
        <f t="shared" si="5"/>
        <v>B00-A00</v>
      </c>
      <c r="G126">
        <v>124</v>
      </c>
    </row>
    <row r="127" spans="5:7" x14ac:dyDescent="0.35">
      <c r="E127" s="60" t="str">
        <f t="shared" si="4"/>
        <v/>
      </c>
      <c r="F127" t="str">
        <f t="shared" si="5"/>
        <v>B00-A00</v>
      </c>
      <c r="G127">
        <v>125</v>
      </c>
    </row>
    <row r="128" spans="5:7" x14ac:dyDescent="0.35">
      <c r="E128" s="60" t="str">
        <f t="shared" si="4"/>
        <v/>
      </c>
      <c r="F128" t="str">
        <f t="shared" si="5"/>
        <v>B00-A00</v>
      </c>
      <c r="G128">
        <v>126</v>
      </c>
    </row>
    <row r="129" spans="5:7" x14ac:dyDescent="0.35">
      <c r="E129" s="60" t="str">
        <f t="shared" si="4"/>
        <v/>
      </c>
      <c r="F129" t="str">
        <f t="shared" si="5"/>
        <v>B00-A00</v>
      </c>
      <c r="G129">
        <v>127</v>
      </c>
    </row>
    <row r="130" spans="5:7" x14ac:dyDescent="0.35">
      <c r="E130" s="60" t="str">
        <f t="shared" si="4"/>
        <v/>
      </c>
      <c r="F130" t="str">
        <f t="shared" si="5"/>
        <v>B00-A00</v>
      </c>
      <c r="G130">
        <v>128</v>
      </c>
    </row>
    <row r="131" spans="5:7" x14ac:dyDescent="0.35">
      <c r="E131" s="60" t="str">
        <f t="shared" si="4"/>
        <v/>
      </c>
      <c r="F131" t="str">
        <f t="shared" si="5"/>
        <v>B00-A00</v>
      </c>
      <c r="G131">
        <v>129</v>
      </c>
    </row>
    <row r="132" spans="5:7" x14ac:dyDescent="0.35">
      <c r="E132" s="60" t="str">
        <f t="shared" si="4"/>
        <v/>
      </c>
      <c r="F132" t="str">
        <f t="shared" si="5"/>
        <v>B00-A00</v>
      </c>
      <c r="G132">
        <v>130</v>
      </c>
    </row>
    <row r="133" spans="5:7" x14ac:dyDescent="0.35">
      <c r="E133" s="60" t="str">
        <f t="shared" si="4"/>
        <v/>
      </c>
      <c r="F133" t="str">
        <f t="shared" si="5"/>
        <v>B00-A00</v>
      </c>
      <c r="G133">
        <v>131</v>
      </c>
    </row>
    <row r="134" spans="5:7" x14ac:dyDescent="0.35">
      <c r="E134" s="60" t="str">
        <f t="shared" si="4"/>
        <v/>
      </c>
      <c r="F134" t="str">
        <f t="shared" si="5"/>
        <v>B00-A00</v>
      </c>
      <c r="G134">
        <v>132</v>
      </c>
    </row>
    <row r="135" spans="5:7" x14ac:dyDescent="0.35">
      <c r="E135" s="60" t="str">
        <f t="shared" si="4"/>
        <v/>
      </c>
      <c r="F135" t="str">
        <f t="shared" si="5"/>
        <v>B00-A00</v>
      </c>
      <c r="G135">
        <v>133</v>
      </c>
    </row>
    <row r="136" spans="5:7" x14ac:dyDescent="0.35">
      <c r="E136" s="60" t="str">
        <f t="shared" si="4"/>
        <v/>
      </c>
      <c r="F136" t="str">
        <f t="shared" si="5"/>
        <v>B00-A00</v>
      </c>
      <c r="G136">
        <v>134</v>
      </c>
    </row>
    <row r="137" spans="5:7" x14ac:dyDescent="0.35">
      <c r="E137" s="60" t="str">
        <f t="shared" ref="E137:E200" si="6">IF(C137="","","B"&amp;TEXT(C137,"00")&amp;IF(AND(D137=1,OR(D138=1,D138=""))," - A01"," - "&amp;"A"&amp;TEXT(D137,"00")))</f>
        <v/>
      </c>
      <c r="F137" t="str">
        <f t="shared" si="5"/>
        <v>B00-A00</v>
      </c>
      <c r="G137">
        <v>135</v>
      </c>
    </row>
    <row r="138" spans="5:7" x14ac:dyDescent="0.35">
      <c r="E138" s="60" t="str">
        <f t="shared" si="6"/>
        <v/>
      </c>
      <c r="F138" t="str">
        <f t="shared" si="5"/>
        <v>B00-A00</v>
      </c>
      <c r="G138">
        <v>136</v>
      </c>
    </row>
    <row r="139" spans="5:7" x14ac:dyDescent="0.35">
      <c r="E139" s="60" t="str">
        <f t="shared" si="6"/>
        <v/>
      </c>
      <c r="F139" t="str">
        <f t="shared" si="5"/>
        <v>B00-A00</v>
      </c>
      <c r="G139">
        <v>137</v>
      </c>
    </row>
    <row r="140" spans="5:7" x14ac:dyDescent="0.35">
      <c r="E140" s="60" t="str">
        <f t="shared" si="6"/>
        <v/>
      </c>
      <c r="F140" t="str">
        <f t="shared" si="5"/>
        <v>B00-A00</v>
      </c>
      <c r="G140">
        <v>138</v>
      </c>
    </row>
    <row r="141" spans="5:7" x14ac:dyDescent="0.35">
      <c r="E141" s="60" t="str">
        <f t="shared" si="6"/>
        <v/>
      </c>
      <c r="F141" t="str">
        <f t="shared" si="5"/>
        <v>B00-A00</v>
      </c>
      <c r="G141">
        <v>139</v>
      </c>
    </row>
    <row r="142" spans="5:7" x14ac:dyDescent="0.35">
      <c r="E142" s="60" t="str">
        <f t="shared" si="6"/>
        <v/>
      </c>
      <c r="F142" t="str">
        <f t="shared" si="5"/>
        <v>B00-A00</v>
      </c>
      <c r="G142">
        <v>140</v>
      </c>
    </row>
    <row r="143" spans="5:7" x14ac:dyDescent="0.35">
      <c r="E143" s="60" t="str">
        <f t="shared" si="6"/>
        <v/>
      </c>
      <c r="F143" t="str">
        <f t="shared" ref="F143:F206" si="7">"B"&amp;TEXT(C143,"00")&amp;"-"&amp;"A"&amp;TEXT(D143,"00")</f>
        <v>B00-A00</v>
      </c>
      <c r="G143">
        <v>141</v>
      </c>
    </row>
    <row r="144" spans="5:7" x14ac:dyDescent="0.35">
      <c r="E144" s="60" t="str">
        <f t="shared" si="6"/>
        <v/>
      </c>
      <c r="F144" t="str">
        <f t="shared" si="7"/>
        <v>B00-A00</v>
      </c>
      <c r="G144">
        <v>142</v>
      </c>
    </row>
    <row r="145" spans="5:7" x14ac:dyDescent="0.35">
      <c r="E145" s="60" t="str">
        <f t="shared" si="6"/>
        <v/>
      </c>
      <c r="F145" t="str">
        <f t="shared" si="7"/>
        <v>B00-A00</v>
      </c>
      <c r="G145">
        <v>143</v>
      </c>
    </row>
    <row r="146" spans="5:7" x14ac:dyDescent="0.35">
      <c r="E146" s="60" t="str">
        <f t="shared" si="6"/>
        <v/>
      </c>
      <c r="F146" t="str">
        <f t="shared" si="7"/>
        <v>B00-A00</v>
      </c>
      <c r="G146">
        <v>144</v>
      </c>
    </row>
    <row r="147" spans="5:7" x14ac:dyDescent="0.35">
      <c r="E147" s="60" t="str">
        <f t="shared" si="6"/>
        <v/>
      </c>
      <c r="F147" t="str">
        <f t="shared" si="7"/>
        <v>B00-A00</v>
      </c>
      <c r="G147">
        <v>145</v>
      </c>
    </row>
    <row r="148" spans="5:7" x14ac:dyDescent="0.35">
      <c r="E148" s="60" t="str">
        <f t="shared" si="6"/>
        <v/>
      </c>
      <c r="F148" t="str">
        <f t="shared" si="7"/>
        <v>B00-A00</v>
      </c>
      <c r="G148">
        <v>146</v>
      </c>
    </row>
    <row r="149" spans="5:7" x14ac:dyDescent="0.35">
      <c r="E149" s="60" t="str">
        <f t="shared" si="6"/>
        <v/>
      </c>
      <c r="F149" t="str">
        <f t="shared" si="7"/>
        <v>B00-A00</v>
      </c>
      <c r="G149">
        <v>147</v>
      </c>
    </row>
    <row r="150" spans="5:7" x14ac:dyDescent="0.35">
      <c r="E150" s="60" t="str">
        <f t="shared" si="6"/>
        <v/>
      </c>
      <c r="F150" t="str">
        <f t="shared" si="7"/>
        <v>B00-A00</v>
      </c>
      <c r="G150">
        <v>148</v>
      </c>
    </row>
    <row r="151" spans="5:7" x14ac:dyDescent="0.35">
      <c r="E151" s="60" t="str">
        <f t="shared" si="6"/>
        <v/>
      </c>
      <c r="F151" t="str">
        <f t="shared" si="7"/>
        <v>B00-A00</v>
      </c>
      <c r="G151">
        <v>149</v>
      </c>
    </row>
    <row r="152" spans="5:7" x14ac:dyDescent="0.35">
      <c r="E152" s="60" t="str">
        <f t="shared" si="6"/>
        <v/>
      </c>
      <c r="F152" t="str">
        <f t="shared" si="7"/>
        <v>B00-A00</v>
      </c>
      <c r="G152">
        <v>150</v>
      </c>
    </row>
    <row r="153" spans="5:7" x14ac:dyDescent="0.35">
      <c r="E153" s="60" t="str">
        <f t="shared" si="6"/>
        <v/>
      </c>
      <c r="F153" t="str">
        <f t="shared" si="7"/>
        <v>B00-A00</v>
      </c>
      <c r="G153">
        <v>151</v>
      </c>
    </row>
    <row r="154" spans="5:7" x14ac:dyDescent="0.35">
      <c r="E154" s="60" t="str">
        <f t="shared" si="6"/>
        <v/>
      </c>
      <c r="F154" t="str">
        <f t="shared" si="7"/>
        <v>B00-A00</v>
      </c>
      <c r="G154">
        <v>152</v>
      </c>
    </row>
    <row r="155" spans="5:7" x14ac:dyDescent="0.35">
      <c r="E155" s="60" t="str">
        <f t="shared" si="6"/>
        <v/>
      </c>
      <c r="F155" t="str">
        <f t="shared" si="7"/>
        <v>B00-A00</v>
      </c>
      <c r="G155">
        <v>153</v>
      </c>
    </row>
    <row r="156" spans="5:7" x14ac:dyDescent="0.35">
      <c r="E156" s="60" t="str">
        <f t="shared" si="6"/>
        <v/>
      </c>
      <c r="F156" t="str">
        <f t="shared" si="7"/>
        <v>B00-A00</v>
      </c>
      <c r="G156">
        <v>154</v>
      </c>
    </row>
    <row r="157" spans="5:7" x14ac:dyDescent="0.35">
      <c r="E157" s="60" t="str">
        <f t="shared" si="6"/>
        <v/>
      </c>
      <c r="F157" t="str">
        <f t="shared" si="7"/>
        <v>B00-A00</v>
      </c>
      <c r="G157">
        <v>155</v>
      </c>
    </row>
    <row r="158" spans="5:7" x14ac:dyDescent="0.35">
      <c r="E158" s="60" t="str">
        <f t="shared" si="6"/>
        <v/>
      </c>
      <c r="F158" t="str">
        <f t="shared" si="7"/>
        <v>B00-A00</v>
      </c>
      <c r="G158">
        <v>156</v>
      </c>
    </row>
    <row r="159" spans="5:7" x14ac:dyDescent="0.35">
      <c r="E159" s="60" t="str">
        <f t="shared" si="6"/>
        <v/>
      </c>
      <c r="F159" t="str">
        <f t="shared" si="7"/>
        <v>B00-A00</v>
      </c>
      <c r="G159">
        <v>157</v>
      </c>
    </row>
    <row r="160" spans="5:7" x14ac:dyDescent="0.35">
      <c r="E160" s="60" t="str">
        <f t="shared" si="6"/>
        <v/>
      </c>
      <c r="F160" t="str">
        <f t="shared" si="7"/>
        <v>B00-A00</v>
      </c>
      <c r="G160">
        <v>158</v>
      </c>
    </row>
    <row r="161" spans="5:7" x14ac:dyDescent="0.35">
      <c r="E161" s="60" t="str">
        <f t="shared" si="6"/>
        <v/>
      </c>
      <c r="F161" t="str">
        <f t="shared" si="7"/>
        <v>B00-A00</v>
      </c>
      <c r="G161">
        <v>159</v>
      </c>
    </row>
    <row r="162" spans="5:7" x14ac:dyDescent="0.35">
      <c r="E162" s="60" t="str">
        <f t="shared" si="6"/>
        <v/>
      </c>
      <c r="F162" t="str">
        <f t="shared" si="7"/>
        <v>B00-A00</v>
      </c>
      <c r="G162">
        <v>160</v>
      </c>
    </row>
    <row r="163" spans="5:7" x14ac:dyDescent="0.35">
      <c r="E163" s="60" t="str">
        <f t="shared" si="6"/>
        <v/>
      </c>
      <c r="F163" t="str">
        <f t="shared" si="7"/>
        <v>B00-A00</v>
      </c>
      <c r="G163">
        <v>161</v>
      </c>
    </row>
    <row r="164" spans="5:7" x14ac:dyDescent="0.35">
      <c r="E164" s="60" t="str">
        <f t="shared" si="6"/>
        <v/>
      </c>
      <c r="F164" t="str">
        <f t="shared" si="7"/>
        <v>B00-A00</v>
      </c>
      <c r="G164">
        <v>162</v>
      </c>
    </row>
    <row r="165" spans="5:7" x14ac:dyDescent="0.35">
      <c r="E165" s="60" t="str">
        <f t="shared" si="6"/>
        <v/>
      </c>
      <c r="F165" t="str">
        <f t="shared" si="7"/>
        <v>B00-A00</v>
      </c>
      <c r="G165">
        <v>163</v>
      </c>
    </row>
    <row r="166" spans="5:7" x14ac:dyDescent="0.35">
      <c r="E166" s="60" t="str">
        <f t="shared" si="6"/>
        <v/>
      </c>
      <c r="F166" t="str">
        <f t="shared" si="7"/>
        <v>B00-A00</v>
      </c>
      <c r="G166">
        <v>164</v>
      </c>
    </row>
    <row r="167" spans="5:7" x14ac:dyDescent="0.35">
      <c r="E167" s="60" t="str">
        <f t="shared" si="6"/>
        <v/>
      </c>
      <c r="F167" t="str">
        <f t="shared" si="7"/>
        <v>B00-A00</v>
      </c>
      <c r="G167">
        <v>165</v>
      </c>
    </row>
    <row r="168" spans="5:7" x14ac:dyDescent="0.35">
      <c r="E168" s="60" t="str">
        <f t="shared" si="6"/>
        <v/>
      </c>
      <c r="F168" t="str">
        <f t="shared" si="7"/>
        <v>B00-A00</v>
      </c>
      <c r="G168">
        <v>166</v>
      </c>
    </row>
    <row r="169" spans="5:7" x14ac:dyDescent="0.35">
      <c r="E169" s="60" t="str">
        <f t="shared" si="6"/>
        <v/>
      </c>
      <c r="F169" t="str">
        <f t="shared" si="7"/>
        <v>B00-A00</v>
      </c>
      <c r="G169">
        <v>167</v>
      </c>
    </row>
    <row r="170" spans="5:7" x14ac:dyDescent="0.35">
      <c r="E170" s="60" t="str">
        <f t="shared" si="6"/>
        <v/>
      </c>
      <c r="F170" t="str">
        <f t="shared" si="7"/>
        <v>B00-A00</v>
      </c>
      <c r="G170">
        <v>168</v>
      </c>
    </row>
    <row r="171" spans="5:7" x14ac:dyDescent="0.35">
      <c r="E171" s="60" t="str">
        <f t="shared" si="6"/>
        <v/>
      </c>
      <c r="F171" t="str">
        <f t="shared" si="7"/>
        <v>B00-A00</v>
      </c>
      <c r="G171">
        <v>169</v>
      </c>
    </row>
    <row r="172" spans="5:7" x14ac:dyDescent="0.35">
      <c r="E172" s="60" t="str">
        <f t="shared" si="6"/>
        <v/>
      </c>
      <c r="F172" t="str">
        <f t="shared" si="7"/>
        <v>B00-A00</v>
      </c>
      <c r="G172">
        <v>170</v>
      </c>
    </row>
    <row r="173" spans="5:7" x14ac:dyDescent="0.35">
      <c r="E173" s="60" t="str">
        <f t="shared" si="6"/>
        <v/>
      </c>
      <c r="F173" t="str">
        <f t="shared" si="7"/>
        <v>B00-A00</v>
      </c>
      <c r="G173">
        <v>171</v>
      </c>
    </row>
    <row r="174" spans="5:7" x14ac:dyDescent="0.35">
      <c r="E174" s="60" t="str">
        <f t="shared" si="6"/>
        <v/>
      </c>
      <c r="F174" t="str">
        <f t="shared" si="7"/>
        <v>B00-A00</v>
      </c>
      <c r="G174">
        <v>172</v>
      </c>
    </row>
    <row r="175" spans="5:7" x14ac:dyDescent="0.35">
      <c r="E175" s="60" t="str">
        <f t="shared" si="6"/>
        <v/>
      </c>
      <c r="F175" t="str">
        <f t="shared" si="7"/>
        <v>B00-A00</v>
      </c>
      <c r="G175">
        <v>173</v>
      </c>
    </row>
    <row r="176" spans="5:7" x14ac:dyDescent="0.35">
      <c r="E176" s="60" t="str">
        <f t="shared" si="6"/>
        <v/>
      </c>
      <c r="F176" t="str">
        <f t="shared" si="7"/>
        <v>B00-A00</v>
      </c>
      <c r="G176">
        <v>174</v>
      </c>
    </row>
    <row r="177" spans="5:7" x14ac:dyDescent="0.35">
      <c r="E177" s="60" t="str">
        <f t="shared" si="6"/>
        <v/>
      </c>
      <c r="F177" t="str">
        <f t="shared" si="7"/>
        <v>B00-A00</v>
      </c>
      <c r="G177">
        <v>175</v>
      </c>
    </row>
    <row r="178" spans="5:7" x14ac:dyDescent="0.35">
      <c r="E178" s="60" t="str">
        <f t="shared" si="6"/>
        <v/>
      </c>
      <c r="F178" t="str">
        <f t="shared" si="7"/>
        <v>B00-A00</v>
      </c>
      <c r="G178">
        <v>176</v>
      </c>
    </row>
    <row r="179" spans="5:7" x14ac:dyDescent="0.35">
      <c r="E179" s="60" t="str">
        <f t="shared" si="6"/>
        <v/>
      </c>
      <c r="F179" t="str">
        <f t="shared" si="7"/>
        <v>B00-A00</v>
      </c>
      <c r="G179">
        <v>177</v>
      </c>
    </row>
    <row r="180" spans="5:7" x14ac:dyDescent="0.35">
      <c r="E180" s="60" t="str">
        <f t="shared" si="6"/>
        <v/>
      </c>
      <c r="F180" t="str">
        <f t="shared" si="7"/>
        <v>B00-A00</v>
      </c>
      <c r="G180">
        <v>178</v>
      </c>
    </row>
    <row r="181" spans="5:7" x14ac:dyDescent="0.35">
      <c r="E181" s="60" t="str">
        <f t="shared" si="6"/>
        <v/>
      </c>
      <c r="F181" t="str">
        <f t="shared" si="7"/>
        <v>B00-A00</v>
      </c>
      <c r="G181">
        <v>179</v>
      </c>
    </row>
    <row r="182" spans="5:7" x14ac:dyDescent="0.35">
      <c r="E182" s="60" t="str">
        <f t="shared" si="6"/>
        <v/>
      </c>
      <c r="F182" t="str">
        <f t="shared" si="7"/>
        <v>B00-A00</v>
      </c>
      <c r="G182">
        <v>180</v>
      </c>
    </row>
    <row r="183" spans="5:7" x14ac:dyDescent="0.35">
      <c r="E183" s="60" t="str">
        <f t="shared" si="6"/>
        <v/>
      </c>
      <c r="F183" t="str">
        <f t="shared" si="7"/>
        <v>B00-A00</v>
      </c>
      <c r="G183">
        <v>181</v>
      </c>
    </row>
    <row r="184" spans="5:7" x14ac:dyDescent="0.35">
      <c r="E184" s="60" t="str">
        <f t="shared" si="6"/>
        <v/>
      </c>
      <c r="F184" t="str">
        <f t="shared" si="7"/>
        <v>B00-A00</v>
      </c>
      <c r="G184">
        <v>182</v>
      </c>
    </row>
    <row r="185" spans="5:7" x14ac:dyDescent="0.35">
      <c r="E185" s="60" t="str">
        <f t="shared" si="6"/>
        <v/>
      </c>
      <c r="F185" t="str">
        <f t="shared" si="7"/>
        <v>B00-A00</v>
      </c>
      <c r="G185">
        <v>183</v>
      </c>
    </row>
    <row r="186" spans="5:7" x14ac:dyDescent="0.35">
      <c r="E186" s="60" t="str">
        <f t="shared" si="6"/>
        <v/>
      </c>
      <c r="F186" t="str">
        <f t="shared" si="7"/>
        <v>B00-A00</v>
      </c>
      <c r="G186">
        <v>184</v>
      </c>
    </row>
    <row r="187" spans="5:7" x14ac:dyDescent="0.35">
      <c r="E187" s="60" t="str">
        <f t="shared" si="6"/>
        <v/>
      </c>
      <c r="F187" t="str">
        <f t="shared" si="7"/>
        <v>B00-A00</v>
      </c>
      <c r="G187">
        <v>185</v>
      </c>
    </row>
    <row r="188" spans="5:7" x14ac:dyDescent="0.35">
      <c r="E188" s="60" t="str">
        <f t="shared" si="6"/>
        <v/>
      </c>
      <c r="F188" t="str">
        <f t="shared" si="7"/>
        <v>B00-A00</v>
      </c>
      <c r="G188">
        <v>186</v>
      </c>
    </row>
    <row r="189" spans="5:7" x14ac:dyDescent="0.35">
      <c r="E189" s="60" t="str">
        <f t="shared" si="6"/>
        <v/>
      </c>
      <c r="F189" t="str">
        <f t="shared" si="7"/>
        <v>B00-A00</v>
      </c>
      <c r="G189">
        <v>187</v>
      </c>
    </row>
    <row r="190" spans="5:7" x14ac:dyDescent="0.35">
      <c r="E190" s="60" t="str">
        <f t="shared" si="6"/>
        <v/>
      </c>
      <c r="F190" t="str">
        <f t="shared" si="7"/>
        <v>B00-A00</v>
      </c>
      <c r="G190">
        <v>188</v>
      </c>
    </row>
    <row r="191" spans="5:7" x14ac:dyDescent="0.35">
      <c r="E191" s="60" t="str">
        <f t="shared" si="6"/>
        <v/>
      </c>
      <c r="F191" t="str">
        <f t="shared" si="7"/>
        <v>B00-A00</v>
      </c>
      <c r="G191">
        <v>189</v>
      </c>
    </row>
    <row r="192" spans="5:7" x14ac:dyDescent="0.35">
      <c r="E192" s="60" t="str">
        <f t="shared" si="6"/>
        <v/>
      </c>
      <c r="F192" t="str">
        <f t="shared" si="7"/>
        <v>B00-A00</v>
      </c>
      <c r="G192">
        <v>190</v>
      </c>
    </row>
    <row r="193" spans="5:7" x14ac:dyDescent="0.35">
      <c r="E193" s="60" t="str">
        <f t="shared" si="6"/>
        <v/>
      </c>
      <c r="F193" t="str">
        <f t="shared" si="7"/>
        <v>B00-A00</v>
      </c>
      <c r="G193">
        <v>191</v>
      </c>
    </row>
    <row r="194" spans="5:7" x14ac:dyDescent="0.35">
      <c r="E194" s="60" t="str">
        <f t="shared" si="6"/>
        <v/>
      </c>
      <c r="F194" t="str">
        <f t="shared" si="7"/>
        <v>B00-A00</v>
      </c>
      <c r="G194">
        <v>192</v>
      </c>
    </row>
    <row r="195" spans="5:7" x14ac:dyDescent="0.35">
      <c r="E195" s="60" t="str">
        <f t="shared" si="6"/>
        <v/>
      </c>
      <c r="F195" t="str">
        <f t="shared" si="7"/>
        <v>B00-A00</v>
      </c>
      <c r="G195">
        <v>193</v>
      </c>
    </row>
    <row r="196" spans="5:7" x14ac:dyDescent="0.35">
      <c r="E196" s="60" t="str">
        <f t="shared" si="6"/>
        <v/>
      </c>
      <c r="F196" t="str">
        <f t="shared" si="7"/>
        <v>B00-A00</v>
      </c>
      <c r="G196">
        <v>194</v>
      </c>
    </row>
    <row r="197" spans="5:7" x14ac:dyDescent="0.35">
      <c r="E197" s="60" t="str">
        <f t="shared" si="6"/>
        <v/>
      </c>
      <c r="F197" t="str">
        <f t="shared" si="7"/>
        <v>B00-A00</v>
      </c>
      <c r="G197">
        <v>195</v>
      </c>
    </row>
    <row r="198" spans="5:7" x14ac:dyDescent="0.35">
      <c r="E198" s="60" t="str">
        <f t="shared" si="6"/>
        <v/>
      </c>
      <c r="F198" t="str">
        <f t="shared" si="7"/>
        <v>B00-A00</v>
      </c>
      <c r="G198">
        <v>196</v>
      </c>
    </row>
    <row r="199" spans="5:7" x14ac:dyDescent="0.35">
      <c r="E199" s="60" t="str">
        <f t="shared" si="6"/>
        <v/>
      </c>
      <c r="F199" t="str">
        <f t="shared" si="7"/>
        <v>B00-A00</v>
      </c>
      <c r="G199">
        <v>197</v>
      </c>
    </row>
    <row r="200" spans="5:7" x14ac:dyDescent="0.35">
      <c r="E200" s="60" t="str">
        <f t="shared" si="6"/>
        <v/>
      </c>
      <c r="F200" t="str">
        <f t="shared" si="7"/>
        <v>B00-A00</v>
      </c>
      <c r="G200">
        <v>198</v>
      </c>
    </row>
    <row r="201" spans="5:7" x14ac:dyDescent="0.35">
      <c r="E201" s="60" t="str">
        <f t="shared" ref="E201:E264" si="8">IF(C201="","","B"&amp;TEXT(C201,"00")&amp;IF(AND(D201=1,OR(D202=1,D202=""))," - A01"," - "&amp;"A"&amp;TEXT(D201,"00")))</f>
        <v/>
      </c>
      <c r="F201" t="str">
        <f t="shared" si="7"/>
        <v>B00-A00</v>
      </c>
      <c r="G201">
        <v>199</v>
      </c>
    </row>
    <row r="202" spans="5:7" x14ac:dyDescent="0.35">
      <c r="E202" s="60" t="str">
        <f t="shared" si="8"/>
        <v/>
      </c>
      <c r="F202" t="str">
        <f t="shared" si="7"/>
        <v>B00-A00</v>
      </c>
      <c r="G202">
        <v>200</v>
      </c>
    </row>
    <row r="203" spans="5:7" x14ac:dyDescent="0.35">
      <c r="E203" s="60" t="str">
        <f t="shared" si="8"/>
        <v/>
      </c>
      <c r="F203" t="str">
        <f t="shared" si="7"/>
        <v>B00-A00</v>
      </c>
      <c r="G203">
        <v>201</v>
      </c>
    </row>
    <row r="204" spans="5:7" x14ac:dyDescent="0.35">
      <c r="E204" s="60" t="str">
        <f t="shared" si="8"/>
        <v/>
      </c>
      <c r="F204" t="str">
        <f t="shared" si="7"/>
        <v>B00-A00</v>
      </c>
      <c r="G204">
        <v>202</v>
      </c>
    </row>
    <row r="205" spans="5:7" x14ac:dyDescent="0.35">
      <c r="E205" s="60" t="str">
        <f t="shared" si="8"/>
        <v/>
      </c>
      <c r="F205" t="str">
        <f t="shared" si="7"/>
        <v>B00-A00</v>
      </c>
      <c r="G205">
        <v>203</v>
      </c>
    </row>
    <row r="206" spans="5:7" x14ac:dyDescent="0.35">
      <c r="E206" s="60" t="str">
        <f t="shared" si="8"/>
        <v/>
      </c>
      <c r="F206" t="str">
        <f t="shared" si="7"/>
        <v>B00-A00</v>
      </c>
      <c r="G206">
        <v>204</v>
      </c>
    </row>
    <row r="207" spans="5:7" x14ac:dyDescent="0.35">
      <c r="E207" s="60" t="str">
        <f t="shared" si="8"/>
        <v/>
      </c>
      <c r="F207" t="str">
        <f t="shared" ref="F207:F270" si="9">"B"&amp;TEXT(C207,"00")&amp;"-"&amp;"A"&amp;TEXT(D207,"00")</f>
        <v>B00-A00</v>
      </c>
      <c r="G207">
        <v>205</v>
      </c>
    </row>
    <row r="208" spans="5:7" x14ac:dyDescent="0.35">
      <c r="E208" s="60" t="str">
        <f t="shared" si="8"/>
        <v/>
      </c>
      <c r="F208" t="str">
        <f t="shared" si="9"/>
        <v>B00-A00</v>
      </c>
      <c r="G208">
        <v>206</v>
      </c>
    </row>
    <row r="209" spans="5:7" x14ac:dyDescent="0.35">
      <c r="E209" s="60" t="str">
        <f t="shared" si="8"/>
        <v/>
      </c>
      <c r="F209" t="str">
        <f t="shared" si="9"/>
        <v>B00-A00</v>
      </c>
      <c r="G209">
        <v>207</v>
      </c>
    </row>
    <row r="210" spans="5:7" x14ac:dyDescent="0.35">
      <c r="E210" s="60" t="str">
        <f t="shared" si="8"/>
        <v/>
      </c>
      <c r="F210" t="str">
        <f t="shared" si="9"/>
        <v>B00-A00</v>
      </c>
      <c r="G210">
        <v>208</v>
      </c>
    </row>
    <row r="211" spans="5:7" x14ac:dyDescent="0.35">
      <c r="E211" s="60" t="str">
        <f t="shared" si="8"/>
        <v/>
      </c>
      <c r="F211" t="str">
        <f t="shared" si="9"/>
        <v>B00-A00</v>
      </c>
      <c r="G211">
        <v>209</v>
      </c>
    </row>
    <row r="212" spans="5:7" x14ac:dyDescent="0.35">
      <c r="E212" s="60" t="str">
        <f t="shared" si="8"/>
        <v/>
      </c>
      <c r="F212" t="str">
        <f t="shared" si="9"/>
        <v>B00-A00</v>
      </c>
      <c r="G212">
        <v>210</v>
      </c>
    </row>
    <row r="213" spans="5:7" x14ac:dyDescent="0.35">
      <c r="E213" s="60" t="str">
        <f t="shared" si="8"/>
        <v/>
      </c>
      <c r="F213" t="str">
        <f t="shared" si="9"/>
        <v>B00-A00</v>
      </c>
      <c r="G213">
        <v>211</v>
      </c>
    </row>
    <row r="214" spans="5:7" x14ac:dyDescent="0.35">
      <c r="E214" s="60" t="str">
        <f t="shared" si="8"/>
        <v/>
      </c>
      <c r="F214" t="str">
        <f t="shared" si="9"/>
        <v>B00-A00</v>
      </c>
      <c r="G214">
        <v>212</v>
      </c>
    </row>
    <row r="215" spans="5:7" x14ac:dyDescent="0.35">
      <c r="E215" s="60" t="str">
        <f t="shared" si="8"/>
        <v/>
      </c>
      <c r="F215" t="str">
        <f t="shared" si="9"/>
        <v>B00-A00</v>
      </c>
      <c r="G215">
        <v>213</v>
      </c>
    </row>
    <row r="216" spans="5:7" x14ac:dyDescent="0.35">
      <c r="E216" s="60" t="str">
        <f t="shared" si="8"/>
        <v/>
      </c>
      <c r="F216" t="str">
        <f t="shared" si="9"/>
        <v>B00-A00</v>
      </c>
      <c r="G216">
        <v>214</v>
      </c>
    </row>
    <row r="217" spans="5:7" x14ac:dyDescent="0.35">
      <c r="E217" s="60" t="str">
        <f t="shared" si="8"/>
        <v/>
      </c>
      <c r="F217" t="str">
        <f t="shared" si="9"/>
        <v>B00-A00</v>
      </c>
      <c r="G217">
        <v>215</v>
      </c>
    </row>
    <row r="218" spans="5:7" x14ac:dyDescent="0.35">
      <c r="E218" s="60" t="str">
        <f t="shared" si="8"/>
        <v/>
      </c>
      <c r="F218" t="str">
        <f t="shared" si="9"/>
        <v>B00-A00</v>
      </c>
      <c r="G218">
        <v>216</v>
      </c>
    </row>
    <row r="219" spans="5:7" x14ac:dyDescent="0.35">
      <c r="E219" s="60" t="str">
        <f t="shared" si="8"/>
        <v/>
      </c>
      <c r="F219" t="str">
        <f t="shared" si="9"/>
        <v>B00-A00</v>
      </c>
      <c r="G219">
        <v>217</v>
      </c>
    </row>
    <row r="220" spans="5:7" x14ac:dyDescent="0.35">
      <c r="E220" s="60" t="str">
        <f t="shared" si="8"/>
        <v/>
      </c>
      <c r="F220" t="str">
        <f t="shared" si="9"/>
        <v>B00-A00</v>
      </c>
      <c r="G220">
        <v>218</v>
      </c>
    </row>
    <row r="221" spans="5:7" x14ac:dyDescent="0.35">
      <c r="E221" s="60" t="str">
        <f t="shared" si="8"/>
        <v/>
      </c>
      <c r="F221" t="str">
        <f t="shared" si="9"/>
        <v>B00-A00</v>
      </c>
      <c r="G221">
        <v>219</v>
      </c>
    </row>
    <row r="222" spans="5:7" x14ac:dyDescent="0.35">
      <c r="E222" s="60" t="str">
        <f t="shared" si="8"/>
        <v/>
      </c>
      <c r="F222" t="str">
        <f t="shared" si="9"/>
        <v>B00-A00</v>
      </c>
      <c r="G222">
        <v>220</v>
      </c>
    </row>
    <row r="223" spans="5:7" x14ac:dyDescent="0.35">
      <c r="E223" s="60" t="str">
        <f t="shared" si="8"/>
        <v/>
      </c>
      <c r="F223" t="str">
        <f t="shared" si="9"/>
        <v>B00-A00</v>
      </c>
      <c r="G223">
        <v>221</v>
      </c>
    </row>
    <row r="224" spans="5:7" x14ac:dyDescent="0.35">
      <c r="E224" s="60" t="str">
        <f t="shared" si="8"/>
        <v/>
      </c>
      <c r="F224" t="str">
        <f t="shared" si="9"/>
        <v>B00-A00</v>
      </c>
      <c r="G224">
        <v>222</v>
      </c>
    </row>
    <row r="225" spans="5:7" x14ac:dyDescent="0.35">
      <c r="E225" s="60" t="str">
        <f t="shared" si="8"/>
        <v/>
      </c>
      <c r="F225" t="str">
        <f t="shared" si="9"/>
        <v>B00-A00</v>
      </c>
      <c r="G225">
        <v>223</v>
      </c>
    </row>
    <row r="226" spans="5:7" x14ac:dyDescent="0.35">
      <c r="E226" s="60" t="str">
        <f t="shared" si="8"/>
        <v/>
      </c>
      <c r="F226" t="str">
        <f t="shared" si="9"/>
        <v>B00-A00</v>
      </c>
      <c r="G226">
        <v>224</v>
      </c>
    </row>
    <row r="227" spans="5:7" x14ac:dyDescent="0.35">
      <c r="E227" s="60" t="str">
        <f t="shared" si="8"/>
        <v/>
      </c>
      <c r="F227" t="str">
        <f t="shared" si="9"/>
        <v>B00-A00</v>
      </c>
      <c r="G227">
        <v>225</v>
      </c>
    </row>
    <row r="228" spans="5:7" x14ac:dyDescent="0.35">
      <c r="E228" s="60" t="str">
        <f t="shared" si="8"/>
        <v/>
      </c>
      <c r="F228" t="str">
        <f t="shared" si="9"/>
        <v>B00-A00</v>
      </c>
      <c r="G228">
        <v>226</v>
      </c>
    </row>
    <row r="229" spans="5:7" x14ac:dyDescent="0.35">
      <c r="E229" s="60" t="str">
        <f t="shared" si="8"/>
        <v/>
      </c>
      <c r="F229" t="str">
        <f t="shared" si="9"/>
        <v>B00-A00</v>
      </c>
      <c r="G229">
        <v>227</v>
      </c>
    </row>
    <row r="230" spans="5:7" x14ac:dyDescent="0.35">
      <c r="E230" s="60" t="str">
        <f t="shared" si="8"/>
        <v/>
      </c>
      <c r="F230" t="str">
        <f t="shared" si="9"/>
        <v>B00-A00</v>
      </c>
      <c r="G230">
        <v>228</v>
      </c>
    </row>
    <row r="231" spans="5:7" x14ac:dyDescent="0.35">
      <c r="E231" s="60" t="str">
        <f t="shared" si="8"/>
        <v/>
      </c>
      <c r="F231" t="str">
        <f t="shared" si="9"/>
        <v>B00-A00</v>
      </c>
      <c r="G231">
        <v>229</v>
      </c>
    </row>
    <row r="232" spans="5:7" x14ac:dyDescent="0.35">
      <c r="E232" s="60" t="str">
        <f t="shared" si="8"/>
        <v/>
      </c>
      <c r="F232" t="str">
        <f t="shared" si="9"/>
        <v>B00-A00</v>
      </c>
      <c r="G232">
        <v>230</v>
      </c>
    </row>
    <row r="233" spans="5:7" x14ac:dyDescent="0.35">
      <c r="E233" s="60" t="str">
        <f t="shared" si="8"/>
        <v/>
      </c>
      <c r="F233" t="str">
        <f t="shared" si="9"/>
        <v>B00-A00</v>
      </c>
      <c r="G233">
        <v>231</v>
      </c>
    </row>
    <row r="234" spans="5:7" x14ac:dyDescent="0.35">
      <c r="E234" s="60" t="str">
        <f t="shared" si="8"/>
        <v/>
      </c>
      <c r="F234" t="str">
        <f t="shared" si="9"/>
        <v>B00-A00</v>
      </c>
      <c r="G234">
        <v>232</v>
      </c>
    </row>
    <row r="235" spans="5:7" x14ac:dyDescent="0.35">
      <c r="E235" s="60" t="str">
        <f t="shared" si="8"/>
        <v/>
      </c>
      <c r="F235" t="str">
        <f t="shared" si="9"/>
        <v>B00-A00</v>
      </c>
      <c r="G235">
        <v>233</v>
      </c>
    </row>
    <row r="236" spans="5:7" x14ac:dyDescent="0.35">
      <c r="E236" s="60" t="str">
        <f t="shared" si="8"/>
        <v/>
      </c>
      <c r="F236" t="str">
        <f t="shared" si="9"/>
        <v>B00-A00</v>
      </c>
      <c r="G236">
        <v>234</v>
      </c>
    </row>
    <row r="237" spans="5:7" x14ac:dyDescent="0.35">
      <c r="E237" s="60" t="str">
        <f t="shared" si="8"/>
        <v/>
      </c>
      <c r="F237" t="str">
        <f t="shared" si="9"/>
        <v>B00-A00</v>
      </c>
      <c r="G237">
        <v>235</v>
      </c>
    </row>
    <row r="238" spans="5:7" x14ac:dyDescent="0.35">
      <c r="E238" s="60" t="str">
        <f t="shared" si="8"/>
        <v/>
      </c>
      <c r="F238" t="str">
        <f t="shared" si="9"/>
        <v>B00-A00</v>
      </c>
      <c r="G238">
        <v>236</v>
      </c>
    </row>
    <row r="239" spans="5:7" x14ac:dyDescent="0.35">
      <c r="E239" s="60" t="str">
        <f t="shared" si="8"/>
        <v/>
      </c>
      <c r="F239" t="str">
        <f t="shared" si="9"/>
        <v>B00-A00</v>
      </c>
      <c r="G239">
        <v>237</v>
      </c>
    </row>
    <row r="240" spans="5:7" x14ac:dyDescent="0.35">
      <c r="E240" s="60" t="str">
        <f t="shared" si="8"/>
        <v/>
      </c>
      <c r="F240" t="str">
        <f t="shared" si="9"/>
        <v>B00-A00</v>
      </c>
      <c r="G240">
        <v>238</v>
      </c>
    </row>
    <row r="241" spans="5:7" x14ac:dyDescent="0.35">
      <c r="E241" s="60" t="str">
        <f t="shared" si="8"/>
        <v/>
      </c>
      <c r="F241" t="str">
        <f t="shared" si="9"/>
        <v>B00-A00</v>
      </c>
      <c r="G241">
        <v>239</v>
      </c>
    </row>
    <row r="242" spans="5:7" x14ac:dyDescent="0.35">
      <c r="E242" s="60" t="str">
        <f t="shared" si="8"/>
        <v/>
      </c>
      <c r="F242" t="str">
        <f t="shared" si="9"/>
        <v>B00-A00</v>
      </c>
      <c r="G242">
        <v>240</v>
      </c>
    </row>
    <row r="243" spans="5:7" x14ac:dyDescent="0.35">
      <c r="E243" s="60" t="str">
        <f t="shared" si="8"/>
        <v/>
      </c>
      <c r="F243" t="str">
        <f t="shared" si="9"/>
        <v>B00-A00</v>
      </c>
      <c r="G243">
        <v>241</v>
      </c>
    </row>
    <row r="244" spans="5:7" x14ac:dyDescent="0.35">
      <c r="E244" s="60" t="str">
        <f t="shared" si="8"/>
        <v/>
      </c>
      <c r="F244" t="str">
        <f t="shared" si="9"/>
        <v>B00-A00</v>
      </c>
      <c r="G244">
        <v>242</v>
      </c>
    </row>
    <row r="245" spans="5:7" x14ac:dyDescent="0.35">
      <c r="E245" s="60" t="str">
        <f t="shared" si="8"/>
        <v/>
      </c>
      <c r="F245" t="str">
        <f t="shared" si="9"/>
        <v>B00-A00</v>
      </c>
      <c r="G245">
        <v>243</v>
      </c>
    </row>
    <row r="246" spans="5:7" x14ac:dyDescent="0.35">
      <c r="E246" s="60" t="str">
        <f t="shared" si="8"/>
        <v/>
      </c>
      <c r="F246" t="str">
        <f t="shared" si="9"/>
        <v>B00-A00</v>
      </c>
      <c r="G246">
        <v>244</v>
      </c>
    </row>
    <row r="247" spans="5:7" x14ac:dyDescent="0.35">
      <c r="E247" s="60" t="str">
        <f t="shared" si="8"/>
        <v/>
      </c>
      <c r="F247" t="str">
        <f t="shared" si="9"/>
        <v>B00-A00</v>
      </c>
      <c r="G247">
        <v>245</v>
      </c>
    </row>
    <row r="248" spans="5:7" x14ac:dyDescent="0.35">
      <c r="E248" s="60" t="str">
        <f t="shared" si="8"/>
        <v/>
      </c>
      <c r="F248" t="str">
        <f t="shared" si="9"/>
        <v>B00-A00</v>
      </c>
      <c r="G248">
        <v>246</v>
      </c>
    </row>
    <row r="249" spans="5:7" x14ac:dyDescent="0.35">
      <c r="E249" s="60" t="str">
        <f t="shared" si="8"/>
        <v/>
      </c>
      <c r="F249" t="str">
        <f t="shared" si="9"/>
        <v>B00-A00</v>
      </c>
      <c r="G249">
        <v>247</v>
      </c>
    </row>
    <row r="250" spans="5:7" x14ac:dyDescent="0.35">
      <c r="E250" s="60" t="str">
        <f t="shared" si="8"/>
        <v/>
      </c>
      <c r="F250" t="str">
        <f t="shared" si="9"/>
        <v>B00-A00</v>
      </c>
      <c r="G250">
        <v>248</v>
      </c>
    </row>
    <row r="251" spans="5:7" x14ac:dyDescent="0.35">
      <c r="E251" s="60" t="str">
        <f t="shared" si="8"/>
        <v/>
      </c>
      <c r="F251" t="str">
        <f t="shared" si="9"/>
        <v>B00-A00</v>
      </c>
      <c r="G251">
        <v>249</v>
      </c>
    </row>
    <row r="252" spans="5:7" x14ac:dyDescent="0.35">
      <c r="E252" s="60" t="str">
        <f t="shared" si="8"/>
        <v/>
      </c>
      <c r="F252" t="str">
        <f t="shared" si="9"/>
        <v>B00-A00</v>
      </c>
      <c r="G252">
        <v>250</v>
      </c>
    </row>
    <row r="253" spans="5:7" x14ac:dyDescent="0.35">
      <c r="E253" s="60" t="str">
        <f t="shared" si="8"/>
        <v/>
      </c>
      <c r="F253" t="str">
        <f t="shared" si="9"/>
        <v>B00-A00</v>
      </c>
      <c r="G253">
        <v>251</v>
      </c>
    </row>
    <row r="254" spans="5:7" x14ac:dyDescent="0.35">
      <c r="E254" s="60" t="str">
        <f t="shared" si="8"/>
        <v/>
      </c>
      <c r="F254" t="str">
        <f t="shared" si="9"/>
        <v>B00-A00</v>
      </c>
      <c r="G254">
        <v>252</v>
      </c>
    </row>
    <row r="255" spans="5:7" x14ac:dyDescent="0.35">
      <c r="E255" s="60" t="str">
        <f t="shared" si="8"/>
        <v/>
      </c>
      <c r="F255" t="str">
        <f t="shared" si="9"/>
        <v>B00-A00</v>
      </c>
      <c r="G255">
        <v>253</v>
      </c>
    </row>
    <row r="256" spans="5:7" x14ac:dyDescent="0.35">
      <c r="E256" s="60" t="str">
        <f t="shared" si="8"/>
        <v/>
      </c>
      <c r="F256" t="str">
        <f t="shared" si="9"/>
        <v>B00-A00</v>
      </c>
      <c r="G256">
        <v>254</v>
      </c>
    </row>
    <row r="257" spans="5:7" x14ac:dyDescent="0.35">
      <c r="E257" s="60" t="str">
        <f t="shared" si="8"/>
        <v/>
      </c>
      <c r="F257" t="str">
        <f t="shared" si="9"/>
        <v>B00-A00</v>
      </c>
      <c r="G257">
        <v>255</v>
      </c>
    </row>
    <row r="258" spans="5:7" x14ac:dyDescent="0.35">
      <c r="E258" s="60" t="str">
        <f t="shared" si="8"/>
        <v/>
      </c>
      <c r="F258" t="str">
        <f t="shared" si="9"/>
        <v>B00-A00</v>
      </c>
      <c r="G258">
        <v>256</v>
      </c>
    </row>
    <row r="259" spans="5:7" x14ac:dyDescent="0.35">
      <c r="E259" s="60" t="str">
        <f t="shared" si="8"/>
        <v/>
      </c>
      <c r="F259" t="str">
        <f t="shared" si="9"/>
        <v>B00-A00</v>
      </c>
      <c r="G259">
        <v>257</v>
      </c>
    </row>
    <row r="260" spans="5:7" x14ac:dyDescent="0.35">
      <c r="E260" s="60" t="str">
        <f t="shared" si="8"/>
        <v/>
      </c>
      <c r="F260" t="str">
        <f t="shared" si="9"/>
        <v>B00-A00</v>
      </c>
      <c r="G260">
        <v>258</v>
      </c>
    </row>
    <row r="261" spans="5:7" x14ac:dyDescent="0.35">
      <c r="E261" s="60" t="str">
        <f t="shared" si="8"/>
        <v/>
      </c>
      <c r="F261" t="str">
        <f t="shared" si="9"/>
        <v>B00-A00</v>
      </c>
      <c r="G261">
        <v>259</v>
      </c>
    </row>
    <row r="262" spans="5:7" x14ac:dyDescent="0.35">
      <c r="E262" s="60" t="str">
        <f t="shared" si="8"/>
        <v/>
      </c>
      <c r="F262" t="str">
        <f t="shared" si="9"/>
        <v>B00-A00</v>
      </c>
      <c r="G262">
        <v>260</v>
      </c>
    </row>
    <row r="263" spans="5:7" x14ac:dyDescent="0.35">
      <c r="E263" s="60" t="str">
        <f t="shared" si="8"/>
        <v/>
      </c>
      <c r="F263" t="str">
        <f t="shared" si="9"/>
        <v>B00-A00</v>
      </c>
      <c r="G263">
        <v>261</v>
      </c>
    </row>
    <row r="264" spans="5:7" x14ac:dyDescent="0.35">
      <c r="E264" s="60" t="str">
        <f t="shared" si="8"/>
        <v/>
      </c>
      <c r="F264" t="str">
        <f t="shared" si="9"/>
        <v>B00-A00</v>
      </c>
      <c r="G264">
        <v>262</v>
      </c>
    </row>
    <row r="265" spans="5:7" x14ac:dyDescent="0.35">
      <c r="E265" s="60" t="str">
        <f t="shared" ref="E265:E328" si="10">IF(C265="","","B"&amp;TEXT(C265,"00")&amp;IF(AND(D265=1,OR(D266=1,D266=""))," - A01"," - "&amp;"A"&amp;TEXT(D265,"00")))</f>
        <v/>
      </c>
      <c r="F265" t="str">
        <f t="shared" si="9"/>
        <v>B00-A00</v>
      </c>
      <c r="G265">
        <v>263</v>
      </c>
    </row>
    <row r="266" spans="5:7" x14ac:dyDescent="0.35">
      <c r="E266" s="60" t="str">
        <f t="shared" si="10"/>
        <v/>
      </c>
      <c r="F266" t="str">
        <f t="shared" si="9"/>
        <v>B00-A00</v>
      </c>
      <c r="G266">
        <v>264</v>
      </c>
    </row>
    <row r="267" spans="5:7" x14ac:dyDescent="0.35">
      <c r="E267" s="60" t="str">
        <f t="shared" si="10"/>
        <v/>
      </c>
      <c r="F267" t="str">
        <f t="shared" si="9"/>
        <v>B00-A00</v>
      </c>
      <c r="G267">
        <v>265</v>
      </c>
    </row>
    <row r="268" spans="5:7" x14ac:dyDescent="0.35">
      <c r="E268" s="60" t="str">
        <f t="shared" si="10"/>
        <v/>
      </c>
      <c r="F268" t="str">
        <f t="shared" si="9"/>
        <v>B00-A00</v>
      </c>
      <c r="G268">
        <v>266</v>
      </c>
    </row>
    <row r="269" spans="5:7" x14ac:dyDescent="0.35">
      <c r="E269" s="60" t="str">
        <f t="shared" si="10"/>
        <v/>
      </c>
      <c r="F269" t="str">
        <f t="shared" si="9"/>
        <v>B00-A00</v>
      </c>
      <c r="G269">
        <v>267</v>
      </c>
    </row>
    <row r="270" spans="5:7" x14ac:dyDescent="0.35">
      <c r="E270" s="60" t="str">
        <f t="shared" si="10"/>
        <v/>
      </c>
      <c r="F270" t="str">
        <f t="shared" si="9"/>
        <v>B00-A00</v>
      </c>
      <c r="G270">
        <v>268</v>
      </c>
    </row>
    <row r="271" spans="5:7" x14ac:dyDescent="0.35">
      <c r="E271" s="60" t="str">
        <f t="shared" si="10"/>
        <v/>
      </c>
      <c r="F271" t="str">
        <f t="shared" ref="F271:F334" si="11">"B"&amp;TEXT(C271,"00")&amp;"-"&amp;"A"&amp;TEXT(D271,"00")</f>
        <v>B00-A00</v>
      </c>
      <c r="G271">
        <v>269</v>
      </c>
    </row>
    <row r="272" spans="5:7" x14ac:dyDescent="0.35">
      <c r="E272" s="60" t="str">
        <f t="shared" si="10"/>
        <v/>
      </c>
      <c r="F272" t="str">
        <f t="shared" si="11"/>
        <v>B00-A00</v>
      </c>
      <c r="G272">
        <v>270</v>
      </c>
    </row>
    <row r="273" spans="5:7" x14ac:dyDescent="0.35">
      <c r="E273" s="60" t="str">
        <f t="shared" si="10"/>
        <v/>
      </c>
      <c r="F273" t="str">
        <f t="shared" si="11"/>
        <v>B00-A00</v>
      </c>
      <c r="G273">
        <v>271</v>
      </c>
    </row>
    <row r="274" spans="5:7" x14ac:dyDescent="0.35">
      <c r="E274" s="60" t="str">
        <f t="shared" si="10"/>
        <v/>
      </c>
      <c r="F274" t="str">
        <f t="shared" si="11"/>
        <v>B00-A00</v>
      </c>
      <c r="G274">
        <v>272</v>
      </c>
    </row>
    <row r="275" spans="5:7" x14ac:dyDescent="0.35">
      <c r="E275" s="60" t="str">
        <f t="shared" si="10"/>
        <v/>
      </c>
      <c r="F275" t="str">
        <f t="shared" si="11"/>
        <v>B00-A00</v>
      </c>
      <c r="G275">
        <v>273</v>
      </c>
    </row>
    <row r="276" spans="5:7" x14ac:dyDescent="0.35">
      <c r="E276" s="60" t="str">
        <f t="shared" si="10"/>
        <v/>
      </c>
      <c r="F276" t="str">
        <f t="shared" si="11"/>
        <v>B00-A00</v>
      </c>
      <c r="G276">
        <v>274</v>
      </c>
    </row>
    <row r="277" spans="5:7" x14ac:dyDescent="0.35">
      <c r="E277" s="60" t="str">
        <f t="shared" si="10"/>
        <v/>
      </c>
      <c r="F277" t="str">
        <f t="shared" si="11"/>
        <v>B00-A00</v>
      </c>
      <c r="G277">
        <v>275</v>
      </c>
    </row>
    <row r="278" spans="5:7" x14ac:dyDescent="0.35">
      <c r="E278" s="60" t="str">
        <f t="shared" si="10"/>
        <v/>
      </c>
      <c r="F278" t="str">
        <f t="shared" si="11"/>
        <v>B00-A00</v>
      </c>
      <c r="G278">
        <v>276</v>
      </c>
    </row>
    <row r="279" spans="5:7" x14ac:dyDescent="0.35">
      <c r="E279" s="60" t="str">
        <f t="shared" si="10"/>
        <v/>
      </c>
      <c r="F279" t="str">
        <f t="shared" si="11"/>
        <v>B00-A00</v>
      </c>
      <c r="G279">
        <v>277</v>
      </c>
    </row>
    <row r="280" spans="5:7" x14ac:dyDescent="0.35">
      <c r="E280" s="60" t="str">
        <f t="shared" si="10"/>
        <v/>
      </c>
      <c r="F280" t="str">
        <f t="shared" si="11"/>
        <v>B00-A00</v>
      </c>
      <c r="G280">
        <v>278</v>
      </c>
    </row>
    <row r="281" spans="5:7" x14ac:dyDescent="0.35">
      <c r="E281" s="60" t="str">
        <f t="shared" si="10"/>
        <v/>
      </c>
      <c r="F281" t="str">
        <f t="shared" si="11"/>
        <v>B00-A00</v>
      </c>
      <c r="G281">
        <v>279</v>
      </c>
    </row>
    <row r="282" spans="5:7" x14ac:dyDescent="0.35">
      <c r="E282" s="60" t="str">
        <f t="shared" si="10"/>
        <v/>
      </c>
      <c r="F282" t="str">
        <f t="shared" si="11"/>
        <v>B00-A00</v>
      </c>
      <c r="G282">
        <v>280</v>
      </c>
    </row>
    <row r="283" spans="5:7" x14ac:dyDescent="0.35">
      <c r="E283" s="60" t="str">
        <f t="shared" si="10"/>
        <v/>
      </c>
      <c r="F283" t="str">
        <f t="shared" si="11"/>
        <v>B00-A00</v>
      </c>
      <c r="G283">
        <v>281</v>
      </c>
    </row>
    <row r="284" spans="5:7" x14ac:dyDescent="0.35">
      <c r="E284" s="60" t="str">
        <f t="shared" si="10"/>
        <v/>
      </c>
      <c r="F284" t="str">
        <f t="shared" si="11"/>
        <v>B00-A00</v>
      </c>
      <c r="G284">
        <v>282</v>
      </c>
    </row>
    <row r="285" spans="5:7" x14ac:dyDescent="0.35">
      <c r="E285" s="60" t="str">
        <f t="shared" si="10"/>
        <v/>
      </c>
      <c r="F285" t="str">
        <f t="shared" si="11"/>
        <v>B00-A00</v>
      </c>
      <c r="G285">
        <v>283</v>
      </c>
    </row>
    <row r="286" spans="5:7" x14ac:dyDescent="0.35">
      <c r="E286" s="60" t="str">
        <f t="shared" si="10"/>
        <v/>
      </c>
      <c r="F286" t="str">
        <f t="shared" si="11"/>
        <v>B00-A00</v>
      </c>
      <c r="G286">
        <v>284</v>
      </c>
    </row>
    <row r="287" spans="5:7" x14ac:dyDescent="0.35">
      <c r="E287" s="60" t="str">
        <f t="shared" si="10"/>
        <v/>
      </c>
      <c r="F287" t="str">
        <f t="shared" si="11"/>
        <v>B00-A00</v>
      </c>
      <c r="G287">
        <v>285</v>
      </c>
    </row>
    <row r="288" spans="5:7" x14ac:dyDescent="0.35">
      <c r="E288" s="60" t="str">
        <f t="shared" si="10"/>
        <v/>
      </c>
      <c r="F288" t="str">
        <f t="shared" si="11"/>
        <v>B00-A00</v>
      </c>
      <c r="G288">
        <v>286</v>
      </c>
    </row>
    <row r="289" spans="5:7" x14ac:dyDescent="0.35">
      <c r="E289" s="60" t="str">
        <f t="shared" si="10"/>
        <v/>
      </c>
      <c r="F289" t="str">
        <f t="shared" si="11"/>
        <v>B00-A00</v>
      </c>
      <c r="G289">
        <v>287</v>
      </c>
    </row>
    <row r="290" spans="5:7" x14ac:dyDescent="0.35">
      <c r="E290" s="60" t="str">
        <f t="shared" si="10"/>
        <v/>
      </c>
      <c r="F290" t="str">
        <f t="shared" si="11"/>
        <v>B00-A00</v>
      </c>
      <c r="G290">
        <v>288</v>
      </c>
    </row>
    <row r="291" spans="5:7" x14ac:dyDescent="0.35">
      <c r="E291" s="60" t="str">
        <f t="shared" si="10"/>
        <v/>
      </c>
      <c r="F291" t="str">
        <f t="shared" si="11"/>
        <v>B00-A00</v>
      </c>
      <c r="G291">
        <v>289</v>
      </c>
    </row>
    <row r="292" spans="5:7" x14ac:dyDescent="0.35">
      <c r="E292" s="60" t="str">
        <f t="shared" si="10"/>
        <v/>
      </c>
      <c r="F292" t="str">
        <f t="shared" si="11"/>
        <v>B00-A00</v>
      </c>
      <c r="G292">
        <v>290</v>
      </c>
    </row>
    <row r="293" spans="5:7" x14ac:dyDescent="0.35">
      <c r="E293" s="60" t="str">
        <f t="shared" si="10"/>
        <v/>
      </c>
      <c r="F293" t="str">
        <f t="shared" si="11"/>
        <v>B00-A00</v>
      </c>
      <c r="G293">
        <v>291</v>
      </c>
    </row>
    <row r="294" spans="5:7" x14ac:dyDescent="0.35">
      <c r="E294" s="60" t="str">
        <f t="shared" si="10"/>
        <v/>
      </c>
      <c r="F294" t="str">
        <f t="shared" si="11"/>
        <v>B00-A00</v>
      </c>
      <c r="G294">
        <v>292</v>
      </c>
    </row>
    <row r="295" spans="5:7" x14ac:dyDescent="0.35">
      <c r="E295" s="60" t="str">
        <f t="shared" si="10"/>
        <v/>
      </c>
      <c r="F295" t="str">
        <f t="shared" si="11"/>
        <v>B00-A00</v>
      </c>
      <c r="G295">
        <v>293</v>
      </c>
    </row>
    <row r="296" spans="5:7" x14ac:dyDescent="0.35">
      <c r="E296" s="60" t="str">
        <f t="shared" si="10"/>
        <v/>
      </c>
      <c r="F296" t="str">
        <f t="shared" si="11"/>
        <v>B00-A00</v>
      </c>
      <c r="G296">
        <v>294</v>
      </c>
    </row>
    <row r="297" spans="5:7" x14ac:dyDescent="0.35">
      <c r="E297" s="60" t="str">
        <f t="shared" si="10"/>
        <v/>
      </c>
      <c r="F297" t="str">
        <f t="shared" si="11"/>
        <v>B00-A00</v>
      </c>
      <c r="G297">
        <v>295</v>
      </c>
    </row>
    <row r="298" spans="5:7" x14ac:dyDescent="0.35">
      <c r="E298" s="60" t="str">
        <f t="shared" si="10"/>
        <v/>
      </c>
      <c r="F298" t="str">
        <f t="shared" si="11"/>
        <v>B00-A00</v>
      </c>
      <c r="G298">
        <v>296</v>
      </c>
    </row>
    <row r="299" spans="5:7" x14ac:dyDescent="0.35">
      <c r="E299" s="60" t="str">
        <f t="shared" si="10"/>
        <v/>
      </c>
      <c r="F299" t="str">
        <f t="shared" si="11"/>
        <v>B00-A00</v>
      </c>
      <c r="G299">
        <v>297</v>
      </c>
    </row>
    <row r="300" spans="5:7" x14ac:dyDescent="0.35">
      <c r="E300" s="60" t="str">
        <f t="shared" si="10"/>
        <v/>
      </c>
      <c r="F300" t="str">
        <f t="shared" si="11"/>
        <v>B00-A00</v>
      </c>
      <c r="G300">
        <v>298</v>
      </c>
    </row>
    <row r="301" spans="5:7" x14ac:dyDescent="0.35">
      <c r="E301" s="60" t="str">
        <f t="shared" si="10"/>
        <v/>
      </c>
      <c r="F301" t="str">
        <f t="shared" si="11"/>
        <v>B00-A00</v>
      </c>
      <c r="G301">
        <v>299</v>
      </c>
    </row>
    <row r="302" spans="5:7" x14ac:dyDescent="0.35">
      <c r="E302" s="60" t="str">
        <f t="shared" si="10"/>
        <v/>
      </c>
      <c r="F302" t="str">
        <f t="shared" si="11"/>
        <v>B00-A00</v>
      </c>
      <c r="G302">
        <v>300</v>
      </c>
    </row>
    <row r="303" spans="5:7" x14ac:dyDescent="0.35">
      <c r="E303" s="60" t="str">
        <f t="shared" si="10"/>
        <v/>
      </c>
      <c r="F303" t="str">
        <f t="shared" si="11"/>
        <v>B00-A00</v>
      </c>
      <c r="G303">
        <v>301</v>
      </c>
    </row>
    <row r="304" spans="5:7" x14ac:dyDescent="0.35">
      <c r="E304" s="60" t="str">
        <f t="shared" si="10"/>
        <v/>
      </c>
      <c r="F304" t="str">
        <f t="shared" si="11"/>
        <v>B00-A00</v>
      </c>
      <c r="G304">
        <v>302</v>
      </c>
    </row>
    <row r="305" spans="5:7" x14ac:dyDescent="0.35">
      <c r="E305" s="60" t="str">
        <f t="shared" si="10"/>
        <v/>
      </c>
      <c r="F305" t="str">
        <f t="shared" si="11"/>
        <v>B00-A00</v>
      </c>
      <c r="G305">
        <v>303</v>
      </c>
    </row>
    <row r="306" spans="5:7" x14ac:dyDescent="0.35">
      <c r="E306" s="60" t="str">
        <f t="shared" si="10"/>
        <v/>
      </c>
      <c r="F306" t="str">
        <f t="shared" si="11"/>
        <v>B00-A00</v>
      </c>
      <c r="G306">
        <v>304</v>
      </c>
    </row>
    <row r="307" spans="5:7" x14ac:dyDescent="0.35">
      <c r="E307" s="60" t="str">
        <f t="shared" si="10"/>
        <v/>
      </c>
      <c r="F307" t="str">
        <f t="shared" si="11"/>
        <v>B00-A00</v>
      </c>
      <c r="G307">
        <v>305</v>
      </c>
    </row>
    <row r="308" spans="5:7" x14ac:dyDescent="0.35">
      <c r="E308" s="60" t="str">
        <f t="shared" si="10"/>
        <v/>
      </c>
      <c r="F308" t="str">
        <f t="shared" si="11"/>
        <v>B00-A00</v>
      </c>
      <c r="G308">
        <v>306</v>
      </c>
    </row>
    <row r="309" spans="5:7" x14ac:dyDescent="0.35">
      <c r="E309" s="60" t="str">
        <f t="shared" si="10"/>
        <v/>
      </c>
      <c r="F309" t="str">
        <f t="shared" si="11"/>
        <v>B00-A00</v>
      </c>
      <c r="G309">
        <v>307</v>
      </c>
    </row>
    <row r="310" spans="5:7" x14ac:dyDescent="0.35">
      <c r="E310" s="60" t="str">
        <f t="shared" si="10"/>
        <v/>
      </c>
      <c r="F310" t="str">
        <f t="shared" si="11"/>
        <v>B00-A00</v>
      </c>
      <c r="G310">
        <v>308</v>
      </c>
    </row>
    <row r="311" spans="5:7" x14ac:dyDescent="0.35">
      <c r="E311" s="60" t="str">
        <f t="shared" si="10"/>
        <v/>
      </c>
      <c r="F311" t="str">
        <f t="shared" si="11"/>
        <v>B00-A00</v>
      </c>
      <c r="G311">
        <v>309</v>
      </c>
    </row>
    <row r="312" spans="5:7" x14ac:dyDescent="0.35">
      <c r="E312" s="60" t="str">
        <f t="shared" si="10"/>
        <v/>
      </c>
      <c r="F312" t="str">
        <f t="shared" si="11"/>
        <v>B00-A00</v>
      </c>
      <c r="G312">
        <v>310</v>
      </c>
    </row>
    <row r="313" spans="5:7" x14ac:dyDescent="0.35">
      <c r="E313" s="60" t="str">
        <f t="shared" si="10"/>
        <v/>
      </c>
      <c r="F313" t="str">
        <f t="shared" si="11"/>
        <v>B00-A00</v>
      </c>
      <c r="G313">
        <v>311</v>
      </c>
    </row>
    <row r="314" spans="5:7" x14ac:dyDescent="0.35">
      <c r="E314" s="60" t="str">
        <f t="shared" si="10"/>
        <v/>
      </c>
      <c r="F314" t="str">
        <f t="shared" si="11"/>
        <v>B00-A00</v>
      </c>
      <c r="G314">
        <v>312</v>
      </c>
    </row>
    <row r="315" spans="5:7" x14ac:dyDescent="0.35">
      <c r="E315" s="60" t="str">
        <f t="shared" si="10"/>
        <v/>
      </c>
      <c r="F315" t="str">
        <f t="shared" si="11"/>
        <v>B00-A00</v>
      </c>
      <c r="G315">
        <v>313</v>
      </c>
    </row>
    <row r="316" spans="5:7" x14ac:dyDescent="0.35">
      <c r="E316" s="60" t="str">
        <f t="shared" si="10"/>
        <v/>
      </c>
      <c r="F316" t="str">
        <f t="shared" si="11"/>
        <v>B00-A00</v>
      </c>
      <c r="G316">
        <v>314</v>
      </c>
    </row>
    <row r="317" spans="5:7" x14ac:dyDescent="0.35">
      <c r="E317" s="60" t="str">
        <f t="shared" si="10"/>
        <v/>
      </c>
      <c r="F317" t="str">
        <f t="shared" si="11"/>
        <v>B00-A00</v>
      </c>
      <c r="G317">
        <v>315</v>
      </c>
    </row>
    <row r="318" spans="5:7" x14ac:dyDescent="0.35">
      <c r="E318" s="60" t="str">
        <f t="shared" si="10"/>
        <v/>
      </c>
      <c r="F318" t="str">
        <f t="shared" si="11"/>
        <v>B00-A00</v>
      </c>
      <c r="G318">
        <v>316</v>
      </c>
    </row>
    <row r="319" spans="5:7" x14ac:dyDescent="0.35">
      <c r="E319" s="60" t="str">
        <f t="shared" si="10"/>
        <v/>
      </c>
      <c r="F319" t="str">
        <f t="shared" si="11"/>
        <v>B00-A00</v>
      </c>
      <c r="G319">
        <v>317</v>
      </c>
    </row>
    <row r="320" spans="5:7" x14ac:dyDescent="0.35">
      <c r="E320" s="60" t="str">
        <f t="shared" si="10"/>
        <v/>
      </c>
      <c r="F320" t="str">
        <f t="shared" si="11"/>
        <v>B00-A00</v>
      </c>
      <c r="G320">
        <v>318</v>
      </c>
    </row>
    <row r="321" spans="5:7" x14ac:dyDescent="0.35">
      <c r="E321" s="60" t="str">
        <f t="shared" si="10"/>
        <v/>
      </c>
      <c r="F321" t="str">
        <f t="shared" si="11"/>
        <v>B00-A00</v>
      </c>
      <c r="G321">
        <v>319</v>
      </c>
    </row>
    <row r="322" spans="5:7" x14ac:dyDescent="0.35">
      <c r="E322" s="60" t="str">
        <f t="shared" si="10"/>
        <v/>
      </c>
      <c r="F322" t="str">
        <f t="shared" si="11"/>
        <v>B00-A00</v>
      </c>
      <c r="G322">
        <v>320</v>
      </c>
    </row>
    <row r="323" spans="5:7" x14ac:dyDescent="0.35">
      <c r="E323" s="60" t="str">
        <f t="shared" si="10"/>
        <v/>
      </c>
      <c r="F323" t="str">
        <f t="shared" si="11"/>
        <v>B00-A00</v>
      </c>
      <c r="G323">
        <v>321</v>
      </c>
    </row>
    <row r="324" spans="5:7" x14ac:dyDescent="0.35">
      <c r="E324" s="60" t="str">
        <f t="shared" si="10"/>
        <v/>
      </c>
      <c r="F324" t="str">
        <f t="shared" si="11"/>
        <v>B00-A00</v>
      </c>
      <c r="G324">
        <v>322</v>
      </c>
    </row>
    <row r="325" spans="5:7" x14ac:dyDescent="0.35">
      <c r="E325" s="60" t="str">
        <f t="shared" si="10"/>
        <v/>
      </c>
      <c r="F325" t="str">
        <f t="shared" si="11"/>
        <v>B00-A00</v>
      </c>
      <c r="G325">
        <v>323</v>
      </c>
    </row>
    <row r="326" spans="5:7" x14ac:dyDescent="0.35">
      <c r="E326" s="60" t="str">
        <f t="shared" si="10"/>
        <v/>
      </c>
      <c r="F326" t="str">
        <f t="shared" si="11"/>
        <v>B00-A00</v>
      </c>
      <c r="G326">
        <v>324</v>
      </c>
    </row>
    <row r="327" spans="5:7" x14ac:dyDescent="0.35">
      <c r="E327" s="60" t="str">
        <f t="shared" si="10"/>
        <v/>
      </c>
      <c r="F327" t="str">
        <f t="shared" si="11"/>
        <v>B00-A00</v>
      </c>
      <c r="G327">
        <v>325</v>
      </c>
    </row>
    <row r="328" spans="5:7" x14ac:dyDescent="0.35">
      <c r="E328" s="60" t="str">
        <f t="shared" si="10"/>
        <v/>
      </c>
      <c r="F328" t="str">
        <f t="shared" si="11"/>
        <v>B00-A00</v>
      </c>
      <c r="G328">
        <v>326</v>
      </c>
    </row>
    <row r="329" spans="5:7" x14ac:dyDescent="0.35">
      <c r="E329" s="60" t="str">
        <f t="shared" ref="E329:E392" si="12">IF(C329="","","B"&amp;TEXT(C329,"00")&amp;IF(AND(D329=1,OR(D330=1,D330=""))," - A01"," - "&amp;"A"&amp;TEXT(D329,"00")))</f>
        <v/>
      </c>
      <c r="F329" t="str">
        <f t="shared" si="11"/>
        <v>B00-A00</v>
      </c>
      <c r="G329">
        <v>327</v>
      </c>
    </row>
    <row r="330" spans="5:7" x14ac:dyDescent="0.35">
      <c r="E330" s="60" t="str">
        <f t="shared" si="12"/>
        <v/>
      </c>
      <c r="F330" t="str">
        <f t="shared" si="11"/>
        <v>B00-A00</v>
      </c>
      <c r="G330">
        <v>328</v>
      </c>
    </row>
    <row r="331" spans="5:7" x14ac:dyDescent="0.35">
      <c r="E331" s="60" t="str">
        <f t="shared" si="12"/>
        <v/>
      </c>
      <c r="F331" t="str">
        <f t="shared" si="11"/>
        <v>B00-A00</v>
      </c>
      <c r="G331">
        <v>329</v>
      </c>
    </row>
    <row r="332" spans="5:7" x14ac:dyDescent="0.35">
      <c r="E332" s="60" t="str">
        <f t="shared" si="12"/>
        <v/>
      </c>
      <c r="F332" t="str">
        <f t="shared" si="11"/>
        <v>B00-A00</v>
      </c>
      <c r="G332">
        <v>330</v>
      </c>
    </row>
    <row r="333" spans="5:7" x14ac:dyDescent="0.35">
      <c r="E333" s="60" t="str">
        <f t="shared" si="12"/>
        <v/>
      </c>
      <c r="F333" t="str">
        <f t="shared" si="11"/>
        <v>B00-A00</v>
      </c>
      <c r="G333">
        <v>331</v>
      </c>
    </row>
    <row r="334" spans="5:7" x14ac:dyDescent="0.35">
      <c r="E334" s="60" t="str">
        <f t="shared" si="12"/>
        <v/>
      </c>
      <c r="F334" t="str">
        <f t="shared" si="11"/>
        <v>B00-A00</v>
      </c>
      <c r="G334">
        <v>332</v>
      </c>
    </row>
    <row r="335" spans="5:7" x14ac:dyDescent="0.35">
      <c r="E335" s="60" t="str">
        <f t="shared" si="12"/>
        <v/>
      </c>
      <c r="F335" t="str">
        <f t="shared" ref="F335:F398" si="13">"B"&amp;TEXT(C335,"00")&amp;"-"&amp;"A"&amp;TEXT(D335,"00")</f>
        <v>B00-A00</v>
      </c>
      <c r="G335">
        <v>333</v>
      </c>
    </row>
    <row r="336" spans="5:7" x14ac:dyDescent="0.35">
      <c r="E336" s="60" t="str">
        <f t="shared" si="12"/>
        <v/>
      </c>
      <c r="F336" t="str">
        <f t="shared" si="13"/>
        <v>B00-A00</v>
      </c>
      <c r="G336">
        <v>334</v>
      </c>
    </row>
    <row r="337" spans="5:7" x14ac:dyDescent="0.35">
      <c r="E337" s="60" t="str">
        <f t="shared" si="12"/>
        <v/>
      </c>
      <c r="F337" t="str">
        <f t="shared" si="13"/>
        <v>B00-A00</v>
      </c>
      <c r="G337">
        <v>335</v>
      </c>
    </row>
    <row r="338" spans="5:7" x14ac:dyDescent="0.35">
      <c r="E338" s="60" t="str">
        <f t="shared" si="12"/>
        <v/>
      </c>
      <c r="F338" t="str">
        <f t="shared" si="13"/>
        <v>B00-A00</v>
      </c>
      <c r="G338">
        <v>336</v>
      </c>
    </row>
    <row r="339" spans="5:7" x14ac:dyDescent="0.35">
      <c r="E339" s="60" t="str">
        <f t="shared" si="12"/>
        <v/>
      </c>
      <c r="F339" t="str">
        <f t="shared" si="13"/>
        <v>B00-A00</v>
      </c>
      <c r="G339">
        <v>337</v>
      </c>
    </row>
    <row r="340" spans="5:7" x14ac:dyDescent="0.35">
      <c r="E340" s="60" t="str">
        <f t="shared" si="12"/>
        <v/>
      </c>
      <c r="F340" t="str">
        <f t="shared" si="13"/>
        <v>B00-A00</v>
      </c>
      <c r="G340">
        <v>338</v>
      </c>
    </row>
    <row r="341" spans="5:7" x14ac:dyDescent="0.35">
      <c r="E341" s="60" t="str">
        <f t="shared" si="12"/>
        <v/>
      </c>
      <c r="F341" t="str">
        <f t="shared" si="13"/>
        <v>B00-A00</v>
      </c>
      <c r="G341">
        <v>339</v>
      </c>
    </row>
    <row r="342" spans="5:7" x14ac:dyDescent="0.35">
      <c r="E342" s="60" t="str">
        <f t="shared" si="12"/>
        <v/>
      </c>
      <c r="F342" t="str">
        <f t="shared" si="13"/>
        <v>B00-A00</v>
      </c>
      <c r="G342">
        <v>340</v>
      </c>
    </row>
    <row r="343" spans="5:7" x14ac:dyDescent="0.35">
      <c r="E343" s="60" t="str">
        <f t="shared" si="12"/>
        <v/>
      </c>
      <c r="F343" t="str">
        <f t="shared" si="13"/>
        <v>B00-A00</v>
      </c>
      <c r="G343">
        <v>341</v>
      </c>
    </row>
    <row r="344" spans="5:7" x14ac:dyDescent="0.35">
      <c r="E344" s="60" t="str">
        <f t="shared" si="12"/>
        <v/>
      </c>
      <c r="F344" t="str">
        <f t="shared" si="13"/>
        <v>B00-A00</v>
      </c>
      <c r="G344">
        <v>342</v>
      </c>
    </row>
    <row r="345" spans="5:7" x14ac:dyDescent="0.35">
      <c r="E345" s="60" t="str">
        <f t="shared" si="12"/>
        <v/>
      </c>
      <c r="F345" t="str">
        <f t="shared" si="13"/>
        <v>B00-A00</v>
      </c>
      <c r="G345">
        <v>343</v>
      </c>
    </row>
    <row r="346" spans="5:7" x14ac:dyDescent="0.35">
      <c r="E346" s="60" t="str">
        <f t="shared" si="12"/>
        <v/>
      </c>
      <c r="F346" t="str">
        <f t="shared" si="13"/>
        <v>B00-A00</v>
      </c>
      <c r="G346">
        <v>344</v>
      </c>
    </row>
    <row r="347" spans="5:7" x14ac:dyDescent="0.35">
      <c r="E347" s="60" t="str">
        <f t="shared" si="12"/>
        <v/>
      </c>
      <c r="F347" t="str">
        <f t="shared" si="13"/>
        <v>B00-A00</v>
      </c>
      <c r="G347">
        <v>345</v>
      </c>
    </row>
    <row r="348" spans="5:7" x14ac:dyDescent="0.35">
      <c r="E348" s="60" t="str">
        <f t="shared" si="12"/>
        <v/>
      </c>
      <c r="F348" t="str">
        <f t="shared" si="13"/>
        <v>B00-A00</v>
      </c>
      <c r="G348">
        <v>346</v>
      </c>
    </row>
    <row r="349" spans="5:7" x14ac:dyDescent="0.35">
      <c r="E349" s="60" t="str">
        <f t="shared" si="12"/>
        <v/>
      </c>
      <c r="F349" t="str">
        <f t="shared" si="13"/>
        <v>B00-A00</v>
      </c>
      <c r="G349">
        <v>347</v>
      </c>
    </row>
    <row r="350" spans="5:7" x14ac:dyDescent="0.35">
      <c r="E350" s="60" t="str">
        <f t="shared" si="12"/>
        <v/>
      </c>
      <c r="F350" t="str">
        <f t="shared" si="13"/>
        <v>B00-A00</v>
      </c>
      <c r="G350">
        <v>348</v>
      </c>
    </row>
    <row r="351" spans="5:7" x14ac:dyDescent="0.35">
      <c r="E351" s="60" t="str">
        <f t="shared" si="12"/>
        <v/>
      </c>
      <c r="F351" t="str">
        <f t="shared" si="13"/>
        <v>B00-A00</v>
      </c>
      <c r="G351">
        <v>349</v>
      </c>
    </row>
    <row r="352" spans="5:7" x14ac:dyDescent="0.35">
      <c r="E352" s="60" t="str">
        <f t="shared" si="12"/>
        <v/>
      </c>
      <c r="F352" t="str">
        <f t="shared" si="13"/>
        <v>B00-A00</v>
      </c>
      <c r="G352">
        <v>350</v>
      </c>
    </row>
    <row r="353" spans="5:7" x14ac:dyDescent="0.35">
      <c r="E353" s="60" t="str">
        <f t="shared" si="12"/>
        <v/>
      </c>
      <c r="F353" t="str">
        <f t="shared" si="13"/>
        <v>B00-A00</v>
      </c>
      <c r="G353">
        <v>351</v>
      </c>
    </row>
    <row r="354" spans="5:7" x14ac:dyDescent="0.35">
      <c r="E354" s="60" t="str">
        <f t="shared" si="12"/>
        <v/>
      </c>
      <c r="F354" t="str">
        <f t="shared" si="13"/>
        <v>B00-A00</v>
      </c>
      <c r="G354">
        <v>352</v>
      </c>
    </row>
    <row r="355" spans="5:7" x14ac:dyDescent="0.35">
      <c r="E355" s="60" t="str">
        <f t="shared" si="12"/>
        <v/>
      </c>
      <c r="F355" t="str">
        <f t="shared" si="13"/>
        <v>B00-A00</v>
      </c>
      <c r="G355">
        <v>353</v>
      </c>
    </row>
    <row r="356" spans="5:7" x14ac:dyDescent="0.35">
      <c r="E356" s="60" t="str">
        <f t="shared" si="12"/>
        <v/>
      </c>
      <c r="F356" t="str">
        <f t="shared" si="13"/>
        <v>B00-A00</v>
      </c>
      <c r="G356">
        <v>354</v>
      </c>
    </row>
    <row r="357" spans="5:7" x14ac:dyDescent="0.35">
      <c r="E357" s="60" t="str">
        <f t="shared" si="12"/>
        <v/>
      </c>
      <c r="F357" t="str">
        <f t="shared" si="13"/>
        <v>B00-A00</v>
      </c>
      <c r="G357">
        <v>355</v>
      </c>
    </row>
    <row r="358" spans="5:7" x14ac:dyDescent="0.35">
      <c r="E358" s="60" t="str">
        <f t="shared" si="12"/>
        <v/>
      </c>
      <c r="F358" t="str">
        <f t="shared" si="13"/>
        <v>B00-A00</v>
      </c>
      <c r="G358">
        <v>356</v>
      </c>
    </row>
    <row r="359" spans="5:7" x14ac:dyDescent="0.35">
      <c r="E359" s="60" t="str">
        <f t="shared" si="12"/>
        <v/>
      </c>
      <c r="F359" t="str">
        <f t="shared" si="13"/>
        <v>B00-A00</v>
      </c>
      <c r="G359">
        <v>357</v>
      </c>
    </row>
    <row r="360" spans="5:7" x14ac:dyDescent="0.35">
      <c r="E360" s="60" t="str">
        <f t="shared" si="12"/>
        <v/>
      </c>
      <c r="F360" t="str">
        <f t="shared" si="13"/>
        <v>B00-A00</v>
      </c>
      <c r="G360">
        <v>358</v>
      </c>
    </row>
    <row r="361" spans="5:7" x14ac:dyDescent="0.35">
      <c r="E361" s="60" t="str">
        <f t="shared" si="12"/>
        <v/>
      </c>
      <c r="F361" t="str">
        <f t="shared" si="13"/>
        <v>B00-A00</v>
      </c>
      <c r="G361">
        <v>359</v>
      </c>
    </row>
    <row r="362" spans="5:7" x14ac:dyDescent="0.35">
      <c r="E362" s="60" t="str">
        <f t="shared" si="12"/>
        <v/>
      </c>
      <c r="F362" t="str">
        <f t="shared" si="13"/>
        <v>B00-A00</v>
      </c>
      <c r="G362">
        <v>360</v>
      </c>
    </row>
    <row r="363" spans="5:7" x14ac:dyDescent="0.35">
      <c r="E363" s="60" t="str">
        <f t="shared" si="12"/>
        <v/>
      </c>
      <c r="F363" t="str">
        <f t="shared" si="13"/>
        <v>B00-A00</v>
      </c>
      <c r="G363">
        <v>361</v>
      </c>
    </row>
    <row r="364" spans="5:7" x14ac:dyDescent="0.35">
      <c r="E364" s="60" t="str">
        <f t="shared" si="12"/>
        <v/>
      </c>
      <c r="F364" t="str">
        <f t="shared" si="13"/>
        <v>B00-A00</v>
      </c>
      <c r="G364">
        <v>362</v>
      </c>
    </row>
    <row r="365" spans="5:7" x14ac:dyDescent="0.35">
      <c r="E365" s="60" t="str">
        <f t="shared" si="12"/>
        <v/>
      </c>
      <c r="F365" t="str">
        <f t="shared" si="13"/>
        <v>B00-A00</v>
      </c>
      <c r="G365">
        <v>363</v>
      </c>
    </row>
    <row r="366" spans="5:7" x14ac:dyDescent="0.35">
      <c r="E366" s="60" t="str">
        <f t="shared" si="12"/>
        <v/>
      </c>
      <c r="F366" t="str">
        <f t="shared" si="13"/>
        <v>B00-A00</v>
      </c>
      <c r="G366">
        <v>364</v>
      </c>
    </row>
    <row r="367" spans="5:7" x14ac:dyDescent="0.35">
      <c r="E367" s="60" t="str">
        <f t="shared" si="12"/>
        <v/>
      </c>
      <c r="F367" t="str">
        <f t="shared" si="13"/>
        <v>B00-A00</v>
      </c>
      <c r="G367">
        <v>365</v>
      </c>
    </row>
    <row r="368" spans="5:7" x14ac:dyDescent="0.35">
      <c r="E368" s="60" t="str">
        <f t="shared" si="12"/>
        <v/>
      </c>
      <c r="F368" t="str">
        <f t="shared" si="13"/>
        <v>B00-A00</v>
      </c>
      <c r="G368">
        <v>366</v>
      </c>
    </row>
    <row r="369" spans="5:7" x14ac:dyDescent="0.35">
      <c r="E369" s="60" t="str">
        <f t="shared" si="12"/>
        <v/>
      </c>
      <c r="F369" t="str">
        <f t="shared" si="13"/>
        <v>B00-A00</v>
      </c>
      <c r="G369">
        <v>367</v>
      </c>
    </row>
    <row r="370" spans="5:7" x14ac:dyDescent="0.35">
      <c r="E370" s="60" t="str">
        <f t="shared" si="12"/>
        <v/>
      </c>
      <c r="F370" t="str">
        <f t="shared" si="13"/>
        <v>B00-A00</v>
      </c>
      <c r="G370">
        <v>368</v>
      </c>
    </row>
    <row r="371" spans="5:7" x14ac:dyDescent="0.35">
      <c r="E371" s="60" t="str">
        <f t="shared" si="12"/>
        <v/>
      </c>
      <c r="F371" t="str">
        <f t="shared" si="13"/>
        <v>B00-A00</v>
      </c>
      <c r="G371">
        <v>369</v>
      </c>
    </row>
    <row r="372" spans="5:7" x14ac:dyDescent="0.35">
      <c r="E372" s="60" t="str">
        <f t="shared" si="12"/>
        <v/>
      </c>
      <c r="F372" t="str">
        <f t="shared" si="13"/>
        <v>B00-A00</v>
      </c>
      <c r="G372">
        <v>370</v>
      </c>
    </row>
    <row r="373" spans="5:7" x14ac:dyDescent="0.35">
      <c r="E373" s="60" t="str">
        <f t="shared" si="12"/>
        <v/>
      </c>
      <c r="F373" t="str">
        <f t="shared" si="13"/>
        <v>B00-A00</v>
      </c>
      <c r="G373">
        <v>371</v>
      </c>
    </row>
    <row r="374" spans="5:7" x14ac:dyDescent="0.35">
      <c r="E374" s="60" t="str">
        <f t="shared" si="12"/>
        <v/>
      </c>
      <c r="F374" t="str">
        <f t="shared" si="13"/>
        <v>B00-A00</v>
      </c>
      <c r="G374">
        <v>372</v>
      </c>
    </row>
    <row r="375" spans="5:7" x14ac:dyDescent="0.35">
      <c r="E375" s="60" t="str">
        <f t="shared" si="12"/>
        <v/>
      </c>
      <c r="F375" t="str">
        <f t="shared" si="13"/>
        <v>B00-A00</v>
      </c>
      <c r="G375">
        <v>373</v>
      </c>
    </row>
    <row r="376" spans="5:7" x14ac:dyDescent="0.35">
      <c r="E376" s="60" t="str">
        <f t="shared" si="12"/>
        <v/>
      </c>
      <c r="F376" t="str">
        <f t="shared" si="13"/>
        <v>B00-A00</v>
      </c>
      <c r="G376">
        <v>374</v>
      </c>
    </row>
    <row r="377" spans="5:7" x14ac:dyDescent="0.35">
      <c r="E377" s="60" t="str">
        <f t="shared" si="12"/>
        <v/>
      </c>
      <c r="F377" t="str">
        <f t="shared" si="13"/>
        <v>B00-A00</v>
      </c>
      <c r="G377">
        <v>375</v>
      </c>
    </row>
    <row r="378" spans="5:7" x14ac:dyDescent="0.35">
      <c r="E378" s="60" t="str">
        <f t="shared" si="12"/>
        <v/>
      </c>
      <c r="F378" t="str">
        <f t="shared" si="13"/>
        <v>B00-A00</v>
      </c>
      <c r="G378">
        <v>376</v>
      </c>
    </row>
    <row r="379" spans="5:7" x14ac:dyDescent="0.35">
      <c r="E379" s="60" t="str">
        <f t="shared" si="12"/>
        <v/>
      </c>
      <c r="F379" t="str">
        <f t="shared" si="13"/>
        <v>B00-A00</v>
      </c>
      <c r="G379">
        <v>377</v>
      </c>
    </row>
    <row r="380" spans="5:7" x14ac:dyDescent="0.35">
      <c r="E380" s="60" t="str">
        <f t="shared" si="12"/>
        <v/>
      </c>
      <c r="F380" t="str">
        <f t="shared" si="13"/>
        <v>B00-A00</v>
      </c>
      <c r="G380">
        <v>378</v>
      </c>
    </row>
    <row r="381" spans="5:7" x14ac:dyDescent="0.35">
      <c r="E381" s="60" t="str">
        <f t="shared" si="12"/>
        <v/>
      </c>
      <c r="F381" t="str">
        <f t="shared" si="13"/>
        <v>B00-A00</v>
      </c>
      <c r="G381">
        <v>379</v>
      </c>
    </row>
    <row r="382" spans="5:7" x14ac:dyDescent="0.35">
      <c r="E382" s="60" t="str">
        <f t="shared" si="12"/>
        <v/>
      </c>
      <c r="F382" t="str">
        <f t="shared" si="13"/>
        <v>B00-A00</v>
      </c>
      <c r="G382">
        <v>380</v>
      </c>
    </row>
    <row r="383" spans="5:7" x14ac:dyDescent="0.35">
      <c r="E383" s="60" t="str">
        <f t="shared" si="12"/>
        <v/>
      </c>
      <c r="F383" t="str">
        <f t="shared" si="13"/>
        <v>B00-A00</v>
      </c>
      <c r="G383">
        <v>381</v>
      </c>
    </row>
    <row r="384" spans="5:7" x14ac:dyDescent="0.35">
      <c r="E384" s="60" t="str">
        <f t="shared" si="12"/>
        <v/>
      </c>
      <c r="F384" t="str">
        <f t="shared" si="13"/>
        <v>B00-A00</v>
      </c>
      <c r="G384">
        <v>382</v>
      </c>
    </row>
    <row r="385" spans="5:7" x14ac:dyDescent="0.35">
      <c r="E385" s="60" t="str">
        <f t="shared" si="12"/>
        <v/>
      </c>
      <c r="F385" t="str">
        <f t="shared" si="13"/>
        <v>B00-A00</v>
      </c>
      <c r="G385">
        <v>383</v>
      </c>
    </row>
    <row r="386" spans="5:7" x14ac:dyDescent="0.35">
      <c r="E386" s="60" t="str">
        <f t="shared" si="12"/>
        <v/>
      </c>
      <c r="F386" t="str">
        <f t="shared" si="13"/>
        <v>B00-A00</v>
      </c>
      <c r="G386">
        <v>384</v>
      </c>
    </row>
    <row r="387" spans="5:7" x14ac:dyDescent="0.35">
      <c r="E387" s="60" t="str">
        <f t="shared" si="12"/>
        <v/>
      </c>
      <c r="F387" t="str">
        <f t="shared" si="13"/>
        <v>B00-A00</v>
      </c>
      <c r="G387">
        <v>385</v>
      </c>
    </row>
    <row r="388" spans="5:7" x14ac:dyDescent="0.35">
      <c r="E388" s="60" t="str">
        <f t="shared" si="12"/>
        <v/>
      </c>
      <c r="F388" t="str">
        <f t="shared" si="13"/>
        <v>B00-A00</v>
      </c>
      <c r="G388">
        <v>386</v>
      </c>
    </row>
    <row r="389" spans="5:7" x14ac:dyDescent="0.35">
      <c r="E389" s="60" t="str">
        <f t="shared" si="12"/>
        <v/>
      </c>
      <c r="F389" t="str">
        <f t="shared" si="13"/>
        <v>B00-A00</v>
      </c>
      <c r="G389">
        <v>387</v>
      </c>
    </row>
    <row r="390" spans="5:7" x14ac:dyDescent="0.35">
      <c r="E390" s="60" t="str">
        <f t="shared" si="12"/>
        <v/>
      </c>
      <c r="F390" t="str">
        <f t="shared" si="13"/>
        <v>B00-A00</v>
      </c>
      <c r="G390">
        <v>388</v>
      </c>
    </row>
    <row r="391" spans="5:7" x14ac:dyDescent="0.35">
      <c r="E391" s="60" t="str">
        <f t="shared" si="12"/>
        <v/>
      </c>
      <c r="F391" t="str">
        <f t="shared" si="13"/>
        <v>B00-A00</v>
      </c>
      <c r="G391">
        <v>389</v>
      </c>
    </row>
    <row r="392" spans="5:7" x14ac:dyDescent="0.35">
      <c r="E392" s="60" t="str">
        <f t="shared" si="12"/>
        <v/>
      </c>
      <c r="F392" t="str">
        <f t="shared" si="13"/>
        <v>B00-A00</v>
      </c>
      <c r="G392">
        <v>390</v>
      </c>
    </row>
    <row r="393" spans="5:7" x14ac:dyDescent="0.35">
      <c r="E393" s="60" t="str">
        <f t="shared" ref="E393:E456" si="14">IF(C393="","","B"&amp;TEXT(C393,"00")&amp;IF(AND(D393=1,OR(D394=1,D394=""))," - A01"," - "&amp;"A"&amp;TEXT(D393,"00")))</f>
        <v/>
      </c>
      <c r="F393" t="str">
        <f t="shared" si="13"/>
        <v>B00-A00</v>
      </c>
      <c r="G393">
        <v>391</v>
      </c>
    </row>
    <row r="394" spans="5:7" x14ac:dyDescent="0.35">
      <c r="E394" s="60" t="str">
        <f t="shared" si="14"/>
        <v/>
      </c>
      <c r="F394" t="str">
        <f t="shared" si="13"/>
        <v>B00-A00</v>
      </c>
      <c r="G394">
        <v>392</v>
      </c>
    </row>
    <row r="395" spans="5:7" x14ac:dyDescent="0.35">
      <c r="E395" s="60" t="str">
        <f t="shared" si="14"/>
        <v/>
      </c>
      <c r="F395" t="str">
        <f t="shared" si="13"/>
        <v>B00-A00</v>
      </c>
      <c r="G395">
        <v>393</v>
      </c>
    </row>
    <row r="396" spans="5:7" x14ac:dyDescent="0.35">
      <c r="E396" s="60" t="str">
        <f t="shared" si="14"/>
        <v/>
      </c>
      <c r="F396" t="str">
        <f t="shared" si="13"/>
        <v>B00-A00</v>
      </c>
      <c r="G396">
        <v>394</v>
      </c>
    </row>
    <row r="397" spans="5:7" x14ac:dyDescent="0.35">
      <c r="E397" s="60" t="str">
        <f t="shared" si="14"/>
        <v/>
      </c>
      <c r="F397" t="str">
        <f t="shared" si="13"/>
        <v>B00-A00</v>
      </c>
      <c r="G397">
        <v>395</v>
      </c>
    </row>
    <row r="398" spans="5:7" x14ac:dyDescent="0.35">
      <c r="E398" s="60" t="str">
        <f t="shared" si="14"/>
        <v/>
      </c>
      <c r="F398" t="str">
        <f t="shared" si="13"/>
        <v>B00-A00</v>
      </c>
      <c r="G398">
        <v>396</v>
      </c>
    </row>
    <row r="399" spans="5:7" x14ac:dyDescent="0.35">
      <c r="E399" s="60" t="str">
        <f t="shared" si="14"/>
        <v/>
      </c>
      <c r="F399" t="str">
        <f t="shared" ref="F399:F462" si="15">"B"&amp;TEXT(C399,"00")&amp;"-"&amp;"A"&amp;TEXT(D399,"00")</f>
        <v>B00-A00</v>
      </c>
      <c r="G399">
        <v>397</v>
      </c>
    </row>
    <row r="400" spans="5:7" x14ac:dyDescent="0.35">
      <c r="E400" s="60" t="str">
        <f t="shared" si="14"/>
        <v/>
      </c>
      <c r="F400" t="str">
        <f t="shared" si="15"/>
        <v>B00-A00</v>
      </c>
      <c r="G400">
        <v>398</v>
      </c>
    </row>
    <row r="401" spans="5:7" x14ac:dyDescent="0.35">
      <c r="E401" s="60" t="str">
        <f t="shared" si="14"/>
        <v/>
      </c>
      <c r="F401" t="str">
        <f t="shared" si="15"/>
        <v>B00-A00</v>
      </c>
      <c r="G401">
        <v>399</v>
      </c>
    </row>
    <row r="402" spans="5:7" x14ac:dyDescent="0.35">
      <c r="E402" s="60" t="str">
        <f t="shared" si="14"/>
        <v/>
      </c>
      <c r="F402" t="str">
        <f t="shared" si="15"/>
        <v>B00-A00</v>
      </c>
      <c r="G402">
        <v>400</v>
      </c>
    </row>
    <row r="403" spans="5:7" x14ac:dyDescent="0.35">
      <c r="E403" s="60" t="str">
        <f t="shared" si="14"/>
        <v/>
      </c>
      <c r="F403" t="str">
        <f t="shared" si="15"/>
        <v>B00-A00</v>
      </c>
      <c r="G403">
        <v>401</v>
      </c>
    </row>
    <row r="404" spans="5:7" x14ac:dyDescent="0.35">
      <c r="E404" s="60" t="str">
        <f t="shared" si="14"/>
        <v/>
      </c>
      <c r="F404" t="str">
        <f t="shared" si="15"/>
        <v>B00-A00</v>
      </c>
      <c r="G404">
        <v>402</v>
      </c>
    </row>
    <row r="405" spans="5:7" x14ac:dyDescent="0.35">
      <c r="E405" s="60" t="str">
        <f t="shared" si="14"/>
        <v/>
      </c>
      <c r="F405" t="str">
        <f t="shared" si="15"/>
        <v>B00-A00</v>
      </c>
      <c r="G405">
        <v>403</v>
      </c>
    </row>
    <row r="406" spans="5:7" x14ac:dyDescent="0.35">
      <c r="E406" s="60" t="str">
        <f t="shared" si="14"/>
        <v/>
      </c>
      <c r="F406" t="str">
        <f t="shared" si="15"/>
        <v>B00-A00</v>
      </c>
      <c r="G406">
        <v>404</v>
      </c>
    </row>
    <row r="407" spans="5:7" x14ac:dyDescent="0.35">
      <c r="E407" s="60" t="str">
        <f t="shared" si="14"/>
        <v/>
      </c>
      <c r="F407" t="str">
        <f t="shared" si="15"/>
        <v>B00-A00</v>
      </c>
      <c r="G407">
        <v>405</v>
      </c>
    </row>
    <row r="408" spans="5:7" x14ac:dyDescent="0.35">
      <c r="E408" s="60" t="str">
        <f t="shared" si="14"/>
        <v/>
      </c>
      <c r="F408" t="str">
        <f t="shared" si="15"/>
        <v>B00-A00</v>
      </c>
      <c r="G408">
        <v>406</v>
      </c>
    </row>
    <row r="409" spans="5:7" x14ac:dyDescent="0.35">
      <c r="E409" s="60" t="str">
        <f t="shared" si="14"/>
        <v/>
      </c>
      <c r="F409" t="str">
        <f t="shared" si="15"/>
        <v>B00-A00</v>
      </c>
      <c r="G409">
        <v>407</v>
      </c>
    </row>
    <row r="410" spans="5:7" x14ac:dyDescent="0.35">
      <c r="E410" s="60" t="str">
        <f t="shared" si="14"/>
        <v/>
      </c>
      <c r="F410" t="str">
        <f t="shared" si="15"/>
        <v>B00-A00</v>
      </c>
      <c r="G410">
        <v>408</v>
      </c>
    </row>
    <row r="411" spans="5:7" x14ac:dyDescent="0.35">
      <c r="E411" s="60" t="str">
        <f t="shared" si="14"/>
        <v/>
      </c>
      <c r="F411" t="str">
        <f t="shared" si="15"/>
        <v>B00-A00</v>
      </c>
      <c r="G411">
        <v>409</v>
      </c>
    </row>
    <row r="412" spans="5:7" x14ac:dyDescent="0.35">
      <c r="E412" s="60" t="str">
        <f t="shared" si="14"/>
        <v/>
      </c>
      <c r="F412" t="str">
        <f t="shared" si="15"/>
        <v>B00-A00</v>
      </c>
      <c r="G412">
        <v>410</v>
      </c>
    </row>
    <row r="413" spans="5:7" x14ac:dyDescent="0.35">
      <c r="E413" s="60" t="str">
        <f t="shared" si="14"/>
        <v/>
      </c>
      <c r="F413" t="str">
        <f t="shared" si="15"/>
        <v>B00-A00</v>
      </c>
      <c r="G413">
        <v>411</v>
      </c>
    </row>
    <row r="414" spans="5:7" x14ac:dyDescent="0.35">
      <c r="E414" s="60" t="str">
        <f t="shared" si="14"/>
        <v/>
      </c>
      <c r="F414" t="str">
        <f t="shared" si="15"/>
        <v>B00-A00</v>
      </c>
      <c r="G414">
        <v>412</v>
      </c>
    </row>
    <row r="415" spans="5:7" x14ac:dyDescent="0.35">
      <c r="E415" s="60" t="str">
        <f t="shared" si="14"/>
        <v/>
      </c>
      <c r="F415" t="str">
        <f t="shared" si="15"/>
        <v>B00-A00</v>
      </c>
      <c r="G415">
        <v>413</v>
      </c>
    </row>
    <row r="416" spans="5:7" x14ac:dyDescent="0.35">
      <c r="E416" s="60" t="str">
        <f t="shared" si="14"/>
        <v/>
      </c>
      <c r="F416" t="str">
        <f t="shared" si="15"/>
        <v>B00-A00</v>
      </c>
      <c r="G416">
        <v>414</v>
      </c>
    </row>
    <row r="417" spans="5:7" x14ac:dyDescent="0.35">
      <c r="E417" s="60" t="str">
        <f t="shared" si="14"/>
        <v/>
      </c>
      <c r="F417" t="str">
        <f t="shared" si="15"/>
        <v>B00-A00</v>
      </c>
      <c r="G417">
        <v>415</v>
      </c>
    </row>
    <row r="418" spans="5:7" x14ac:dyDescent="0.35">
      <c r="E418" s="60" t="str">
        <f t="shared" si="14"/>
        <v/>
      </c>
      <c r="F418" t="str">
        <f t="shared" si="15"/>
        <v>B00-A00</v>
      </c>
      <c r="G418">
        <v>416</v>
      </c>
    </row>
    <row r="419" spans="5:7" x14ac:dyDescent="0.35">
      <c r="E419" s="60" t="str">
        <f t="shared" si="14"/>
        <v/>
      </c>
      <c r="F419" t="str">
        <f t="shared" si="15"/>
        <v>B00-A00</v>
      </c>
      <c r="G419">
        <v>417</v>
      </c>
    </row>
    <row r="420" spans="5:7" x14ac:dyDescent="0.35">
      <c r="E420" s="60" t="str">
        <f t="shared" si="14"/>
        <v/>
      </c>
      <c r="F420" t="str">
        <f t="shared" si="15"/>
        <v>B00-A00</v>
      </c>
      <c r="G420">
        <v>418</v>
      </c>
    </row>
    <row r="421" spans="5:7" x14ac:dyDescent="0.35">
      <c r="E421" s="60" t="str">
        <f t="shared" si="14"/>
        <v/>
      </c>
      <c r="F421" t="str">
        <f t="shared" si="15"/>
        <v>B00-A00</v>
      </c>
      <c r="G421">
        <v>419</v>
      </c>
    </row>
    <row r="422" spans="5:7" x14ac:dyDescent="0.35">
      <c r="E422" s="60" t="str">
        <f t="shared" si="14"/>
        <v/>
      </c>
      <c r="F422" t="str">
        <f t="shared" si="15"/>
        <v>B00-A00</v>
      </c>
      <c r="G422">
        <v>420</v>
      </c>
    </row>
    <row r="423" spans="5:7" x14ac:dyDescent="0.35">
      <c r="E423" s="60" t="str">
        <f t="shared" si="14"/>
        <v/>
      </c>
      <c r="F423" t="str">
        <f t="shared" si="15"/>
        <v>B00-A00</v>
      </c>
      <c r="G423">
        <v>421</v>
      </c>
    </row>
    <row r="424" spans="5:7" x14ac:dyDescent="0.35">
      <c r="E424" s="60" t="str">
        <f t="shared" si="14"/>
        <v/>
      </c>
      <c r="F424" t="str">
        <f t="shared" si="15"/>
        <v>B00-A00</v>
      </c>
      <c r="G424">
        <v>422</v>
      </c>
    </row>
    <row r="425" spans="5:7" x14ac:dyDescent="0.35">
      <c r="E425" s="60" t="str">
        <f t="shared" si="14"/>
        <v/>
      </c>
      <c r="F425" t="str">
        <f t="shared" si="15"/>
        <v>B00-A00</v>
      </c>
      <c r="G425">
        <v>423</v>
      </c>
    </row>
    <row r="426" spans="5:7" x14ac:dyDescent="0.35">
      <c r="E426" s="60" t="str">
        <f t="shared" si="14"/>
        <v/>
      </c>
      <c r="F426" t="str">
        <f t="shared" si="15"/>
        <v>B00-A00</v>
      </c>
      <c r="G426">
        <v>424</v>
      </c>
    </row>
    <row r="427" spans="5:7" x14ac:dyDescent="0.35">
      <c r="E427" s="60" t="str">
        <f t="shared" si="14"/>
        <v/>
      </c>
      <c r="F427" t="str">
        <f t="shared" si="15"/>
        <v>B00-A00</v>
      </c>
      <c r="G427">
        <v>425</v>
      </c>
    </row>
    <row r="428" spans="5:7" x14ac:dyDescent="0.35">
      <c r="E428" s="60" t="str">
        <f t="shared" si="14"/>
        <v/>
      </c>
      <c r="F428" t="str">
        <f t="shared" si="15"/>
        <v>B00-A00</v>
      </c>
      <c r="G428">
        <v>426</v>
      </c>
    </row>
    <row r="429" spans="5:7" x14ac:dyDescent="0.35">
      <c r="E429" s="60" t="str">
        <f t="shared" si="14"/>
        <v/>
      </c>
      <c r="F429" t="str">
        <f t="shared" si="15"/>
        <v>B00-A00</v>
      </c>
      <c r="G429">
        <v>427</v>
      </c>
    </row>
    <row r="430" spans="5:7" x14ac:dyDescent="0.35">
      <c r="E430" s="60" t="str">
        <f t="shared" si="14"/>
        <v/>
      </c>
      <c r="F430" t="str">
        <f t="shared" si="15"/>
        <v>B00-A00</v>
      </c>
      <c r="G430">
        <v>428</v>
      </c>
    </row>
    <row r="431" spans="5:7" x14ac:dyDescent="0.35">
      <c r="E431" s="60" t="str">
        <f t="shared" si="14"/>
        <v/>
      </c>
      <c r="F431" t="str">
        <f t="shared" si="15"/>
        <v>B00-A00</v>
      </c>
      <c r="G431">
        <v>429</v>
      </c>
    </row>
    <row r="432" spans="5:7" x14ac:dyDescent="0.35">
      <c r="E432" s="60" t="str">
        <f t="shared" si="14"/>
        <v/>
      </c>
      <c r="F432" t="str">
        <f t="shared" si="15"/>
        <v>B00-A00</v>
      </c>
      <c r="G432">
        <v>430</v>
      </c>
    </row>
    <row r="433" spans="5:7" x14ac:dyDescent="0.35">
      <c r="E433" s="60" t="str">
        <f t="shared" si="14"/>
        <v/>
      </c>
      <c r="F433" t="str">
        <f t="shared" si="15"/>
        <v>B00-A00</v>
      </c>
      <c r="G433">
        <v>431</v>
      </c>
    </row>
    <row r="434" spans="5:7" x14ac:dyDescent="0.35">
      <c r="E434" s="60" t="str">
        <f t="shared" si="14"/>
        <v/>
      </c>
      <c r="F434" t="str">
        <f t="shared" si="15"/>
        <v>B00-A00</v>
      </c>
      <c r="G434">
        <v>432</v>
      </c>
    </row>
    <row r="435" spans="5:7" x14ac:dyDescent="0.35">
      <c r="E435" s="60" t="str">
        <f t="shared" si="14"/>
        <v/>
      </c>
      <c r="F435" t="str">
        <f t="shared" si="15"/>
        <v>B00-A00</v>
      </c>
      <c r="G435">
        <v>433</v>
      </c>
    </row>
    <row r="436" spans="5:7" x14ac:dyDescent="0.35">
      <c r="E436" s="60" t="str">
        <f t="shared" si="14"/>
        <v/>
      </c>
      <c r="F436" t="str">
        <f t="shared" si="15"/>
        <v>B00-A00</v>
      </c>
      <c r="G436">
        <v>434</v>
      </c>
    </row>
    <row r="437" spans="5:7" x14ac:dyDescent="0.35">
      <c r="E437" s="60" t="str">
        <f t="shared" si="14"/>
        <v/>
      </c>
      <c r="F437" t="str">
        <f t="shared" si="15"/>
        <v>B00-A00</v>
      </c>
      <c r="G437">
        <v>435</v>
      </c>
    </row>
    <row r="438" spans="5:7" x14ac:dyDescent="0.35">
      <c r="E438" s="60" t="str">
        <f t="shared" si="14"/>
        <v/>
      </c>
      <c r="F438" t="str">
        <f t="shared" si="15"/>
        <v>B00-A00</v>
      </c>
      <c r="G438">
        <v>436</v>
      </c>
    </row>
    <row r="439" spans="5:7" x14ac:dyDescent="0.35">
      <c r="E439" s="60" t="str">
        <f t="shared" si="14"/>
        <v/>
      </c>
      <c r="F439" t="str">
        <f t="shared" si="15"/>
        <v>B00-A00</v>
      </c>
      <c r="G439">
        <v>437</v>
      </c>
    </row>
    <row r="440" spans="5:7" x14ac:dyDescent="0.35">
      <c r="E440" s="60" t="str">
        <f t="shared" si="14"/>
        <v/>
      </c>
      <c r="F440" t="str">
        <f t="shared" si="15"/>
        <v>B00-A00</v>
      </c>
      <c r="G440">
        <v>438</v>
      </c>
    </row>
    <row r="441" spans="5:7" x14ac:dyDescent="0.35">
      <c r="E441" s="60" t="str">
        <f t="shared" si="14"/>
        <v/>
      </c>
      <c r="F441" t="str">
        <f t="shared" si="15"/>
        <v>B00-A00</v>
      </c>
      <c r="G441">
        <v>439</v>
      </c>
    </row>
    <row r="442" spans="5:7" x14ac:dyDescent="0.35">
      <c r="E442" s="60" t="str">
        <f t="shared" si="14"/>
        <v/>
      </c>
      <c r="F442" t="str">
        <f t="shared" si="15"/>
        <v>B00-A00</v>
      </c>
      <c r="G442">
        <v>440</v>
      </c>
    </row>
    <row r="443" spans="5:7" x14ac:dyDescent="0.35">
      <c r="E443" s="60" t="str">
        <f t="shared" si="14"/>
        <v/>
      </c>
      <c r="F443" t="str">
        <f t="shared" si="15"/>
        <v>B00-A00</v>
      </c>
      <c r="G443">
        <v>441</v>
      </c>
    </row>
    <row r="444" spans="5:7" x14ac:dyDescent="0.35">
      <c r="E444" s="60" t="str">
        <f t="shared" si="14"/>
        <v/>
      </c>
      <c r="F444" t="str">
        <f t="shared" si="15"/>
        <v>B00-A00</v>
      </c>
      <c r="G444">
        <v>442</v>
      </c>
    </row>
    <row r="445" spans="5:7" x14ac:dyDescent="0.35">
      <c r="E445" s="60" t="str">
        <f t="shared" si="14"/>
        <v/>
      </c>
      <c r="F445" t="str">
        <f t="shared" si="15"/>
        <v>B00-A00</v>
      </c>
      <c r="G445">
        <v>443</v>
      </c>
    </row>
    <row r="446" spans="5:7" x14ac:dyDescent="0.35">
      <c r="E446" s="60" t="str">
        <f t="shared" si="14"/>
        <v/>
      </c>
      <c r="F446" t="str">
        <f t="shared" si="15"/>
        <v>B00-A00</v>
      </c>
      <c r="G446">
        <v>444</v>
      </c>
    </row>
    <row r="447" spans="5:7" x14ac:dyDescent="0.35">
      <c r="E447" s="60" t="str">
        <f t="shared" si="14"/>
        <v/>
      </c>
      <c r="F447" t="str">
        <f t="shared" si="15"/>
        <v>B00-A00</v>
      </c>
      <c r="G447">
        <v>445</v>
      </c>
    </row>
    <row r="448" spans="5:7" x14ac:dyDescent="0.35">
      <c r="E448" s="60" t="str">
        <f t="shared" si="14"/>
        <v/>
      </c>
      <c r="F448" t="str">
        <f t="shared" si="15"/>
        <v>B00-A00</v>
      </c>
      <c r="G448">
        <v>446</v>
      </c>
    </row>
    <row r="449" spans="5:7" x14ac:dyDescent="0.35">
      <c r="E449" s="60" t="str">
        <f t="shared" si="14"/>
        <v/>
      </c>
      <c r="F449" t="str">
        <f t="shared" si="15"/>
        <v>B00-A00</v>
      </c>
      <c r="G449">
        <v>447</v>
      </c>
    </row>
    <row r="450" spans="5:7" x14ac:dyDescent="0.35">
      <c r="E450" s="60" t="str">
        <f t="shared" si="14"/>
        <v/>
      </c>
      <c r="F450" t="str">
        <f t="shared" si="15"/>
        <v>B00-A00</v>
      </c>
      <c r="G450">
        <v>448</v>
      </c>
    </row>
    <row r="451" spans="5:7" x14ac:dyDescent="0.35">
      <c r="E451" s="60" t="str">
        <f t="shared" si="14"/>
        <v/>
      </c>
      <c r="F451" t="str">
        <f t="shared" si="15"/>
        <v>B00-A00</v>
      </c>
      <c r="G451">
        <v>449</v>
      </c>
    </row>
    <row r="452" spans="5:7" x14ac:dyDescent="0.35">
      <c r="E452" s="60" t="str">
        <f t="shared" si="14"/>
        <v/>
      </c>
      <c r="F452" t="str">
        <f t="shared" si="15"/>
        <v>B00-A00</v>
      </c>
      <c r="G452">
        <v>450</v>
      </c>
    </row>
    <row r="453" spans="5:7" x14ac:dyDescent="0.35">
      <c r="E453" s="60" t="str">
        <f t="shared" si="14"/>
        <v/>
      </c>
      <c r="F453" t="str">
        <f t="shared" si="15"/>
        <v>B00-A00</v>
      </c>
      <c r="G453">
        <v>451</v>
      </c>
    </row>
    <row r="454" spans="5:7" x14ac:dyDescent="0.35">
      <c r="E454" s="60" t="str">
        <f t="shared" si="14"/>
        <v/>
      </c>
      <c r="F454" t="str">
        <f t="shared" si="15"/>
        <v>B00-A00</v>
      </c>
      <c r="G454">
        <v>452</v>
      </c>
    </row>
    <row r="455" spans="5:7" x14ac:dyDescent="0.35">
      <c r="E455" s="60" t="str">
        <f t="shared" si="14"/>
        <v/>
      </c>
      <c r="F455" t="str">
        <f t="shared" si="15"/>
        <v>B00-A00</v>
      </c>
      <c r="G455">
        <v>453</v>
      </c>
    </row>
    <row r="456" spans="5:7" x14ac:dyDescent="0.35">
      <c r="E456" s="60" t="str">
        <f t="shared" si="14"/>
        <v/>
      </c>
      <c r="F456" t="str">
        <f t="shared" si="15"/>
        <v>B00-A00</v>
      </c>
      <c r="G456">
        <v>454</v>
      </c>
    </row>
    <row r="457" spans="5:7" x14ac:dyDescent="0.35">
      <c r="E457" s="60" t="str">
        <f t="shared" ref="E457:E500" si="16">IF(C457="","","B"&amp;TEXT(C457,"00")&amp;IF(AND(D457=1,OR(D458=1,D458=""))," - A01"," - "&amp;"A"&amp;TEXT(D457,"00")))</f>
        <v/>
      </c>
      <c r="F457" t="str">
        <f t="shared" si="15"/>
        <v>B00-A00</v>
      </c>
      <c r="G457">
        <v>455</v>
      </c>
    </row>
    <row r="458" spans="5:7" x14ac:dyDescent="0.35">
      <c r="E458" s="60" t="str">
        <f t="shared" si="16"/>
        <v/>
      </c>
      <c r="F458" t="str">
        <f t="shared" si="15"/>
        <v>B00-A00</v>
      </c>
      <c r="G458">
        <v>456</v>
      </c>
    </row>
    <row r="459" spans="5:7" x14ac:dyDescent="0.35">
      <c r="E459" s="60" t="str">
        <f t="shared" si="16"/>
        <v/>
      </c>
      <c r="F459" t="str">
        <f t="shared" si="15"/>
        <v>B00-A00</v>
      </c>
      <c r="G459">
        <v>457</v>
      </c>
    </row>
    <row r="460" spans="5:7" x14ac:dyDescent="0.35">
      <c r="E460" s="60" t="str">
        <f t="shared" si="16"/>
        <v/>
      </c>
      <c r="F460" t="str">
        <f t="shared" si="15"/>
        <v>B00-A00</v>
      </c>
      <c r="G460">
        <v>458</v>
      </c>
    </row>
    <row r="461" spans="5:7" x14ac:dyDescent="0.35">
      <c r="E461" s="60" t="str">
        <f t="shared" si="16"/>
        <v/>
      </c>
      <c r="F461" t="str">
        <f t="shared" si="15"/>
        <v>B00-A00</v>
      </c>
      <c r="G461">
        <v>459</v>
      </c>
    </row>
    <row r="462" spans="5:7" x14ac:dyDescent="0.35">
      <c r="E462" s="60" t="str">
        <f t="shared" si="16"/>
        <v/>
      </c>
      <c r="F462" t="str">
        <f t="shared" si="15"/>
        <v>B00-A00</v>
      </c>
      <c r="G462">
        <v>460</v>
      </c>
    </row>
    <row r="463" spans="5:7" x14ac:dyDescent="0.35">
      <c r="E463" s="60" t="str">
        <f t="shared" si="16"/>
        <v/>
      </c>
      <c r="F463" t="str">
        <f t="shared" ref="F463:F500" si="17">"B"&amp;TEXT(C463,"00")&amp;"-"&amp;"A"&amp;TEXT(D463,"00")</f>
        <v>B00-A00</v>
      </c>
      <c r="G463">
        <v>461</v>
      </c>
    </row>
    <row r="464" spans="5:7" x14ac:dyDescent="0.35">
      <c r="E464" s="60" t="str">
        <f t="shared" si="16"/>
        <v/>
      </c>
      <c r="F464" t="str">
        <f t="shared" si="17"/>
        <v>B00-A00</v>
      </c>
      <c r="G464">
        <v>462</v>
      </c>
    </row>
    <row r="465" spans="5:7" x14ac:dyDescent="0.35">
      <c r="E465" s="60" t="str">
        <f t="shared" si="16"/>
        <v/>
      </c>
      <c r="F465" t="str">
        <f t="shared" si="17"/>
        <v>B00-A00</v>
      </c>
      <c r="G465">
        <v>463</v>
      </c>
    </row>
    <row r="466" spans="5:7" x14ac:dyDescent="0.35">
      <c r="E466" s="60" t="str">
        <f t="shared" si="16"/>
        <v/>
      </c>
      <c r="F466" t="str">
        <f t="shared" si="17"/>
        <v>B00-A00</v>
      </c>
      <c r="G466">
        <v>464</v>
      </c>
    </row>
    <row r="467" spans="5:7" x14ac:dyDescent="0.35">
      <c r="E467" s="60" t="str">
        <f t="shared" si="16"/>
        <v/>
      </c>
      <c r="F467" t="str">
        <f t="shared" si="17"/>
        <v>B00-A00</v>
      </c>
      <c r="G467">
        <v>465</v>
      </c>
    </row>
    <row r="468" spans="5:7" x14ac:dyDescent="0.35">
      <c r="E468" s="60" t="str">
        <f t="shared" si="16"/>
        <v/>
      </c>
      <c r="F468" t="str">
        <f t="shared" si="17"/>
        <v>B00-A00</v>
      </c>
      <c r="G468">
        <v>466</v>
      </c>
    </row>
    <row r="469" spans="5:7" x14ac:dyDescent="0.35">
      <c r="E469" s="60" t="str">
        <f t="shared" si="16"/>
        <v/>
      </c>
      <c r="F469" t="str">
        <f t="shared" si="17"/>
        <v>B00-A00</v>
      </c>
      <c r="G469">
        <v>467</v>
      </c>
    </row>
    <row r="470" spans="5:7" x14ac:dyDescent="0.35">
      <c r="E470" s="60" t="str">
        <f t="shared" si="16"/>
        <v/>
      </c>
      <c r="F470" t="str">
        <f t="shared" si="17"/>
        <v>B00-A00</v>
      </c>
      <c r="G470">
        <v>468</v>
      </c>
    </row>
    <row r="471" spans="5:7" x14ac:dyDescent="0.35">
      <c r="E471" s="60" t="str">
        <f t="shared" si="16"/>
        <v/>
      </c>
      <c r="F471" t="str">
        <f t="shared" si="17"/>
        <v>B00-A00</v>
      </c>
      <c r="G471">
        <v>469</v>
      </c>
    </row>
    <row r="472" spans="5:7" x14ac:dyDescent="0.35">
      <c r="E472" s="60" t="str">
        <f t="shared" si="16"/>
        <v/>
      </c>
      <c r="F472" t="str">
        <f t="shared" si="17"/>
        <v>B00-A00</v>
      </c>
      <c r="G472">
        <v>470</v>
      </c>
    </row>
    <row r="473" spans="5:7" x14ac:dyDescent="0.35">
      <c r="E473" s="60" t="str">
        <f t="shared" si="16"/>
        <v/>
      </c>
      <c r="F473" t="str">
        <f t="shared" si="17"/>
        <v>B00-A00</v>
      </c>
      <c r="G473">
        <v>471</v>
      </c>
    </row>
    <row r="474" spans="5:7" x14ac:dyDescent="0.35">
      <c r="E474" s="60" t="str">
        <f t="shared" si="16"/>
        <v/>
      </c>
      <c r="F474" t="str">
        <f t="shared" si="17"/>
        <v>B00-A00</v>
      </c>
      <c r="G474">
        <v>472</v>
      </c>
    </row>
    <row r="475" spans="5:7" x14ac:dyDescent="0.35">
      <c r="E475" s="60" t="str">
        <f t="shared" si="16"/>
        <v/>
      </c>
      <c r="F475" t="str">
        <f t="shared" si="17"/>
        <v>B00-A00</v>
      </c>
      <c r="G475">
        <v>473</v>
      </c>
    </row>
    <row r="476" spans="5:7" x14ac:dyDescent="0.35">
      <c r="E476" s="60" t="str">
        <f t="shared" si="16"/>
        <v/>
      </c>
      <c r="F476" t="str">
        <f t="shared" si="17"/>
        <v>B00-A00</v>
      </c>
      <c r="G476">
        <v>474</v>
      </c>
    </row>
    <row r="477" spans="5:7" x14ac:dyDescent="0.35">
      <c r="E477" s="60" t="str">
        <f t="shared" si="16"/>
        <v/>
      </c>
      <c r="F477" t="str">
        <f t="shared" si="17"/>
        <v>B00-A00</v>
      </c>
      <c r="G477">
        <v>475</v>
      </c>
    </row>
    <row r="478" spans="5:7" x14ac:dyDescent="0.35">
      <c r="E478" s="60" t="str">
        <f t="shared" si="16"/>
        <v/>
      </c>
      <c r="F478" t="str">
        <f t="shared" si="17"/>
        <v>B00-A00</v>
      </c>
      <c r="G478">
        <v>476</v>
      </c>
    </row>
    <row r="479" spans="5:7" x14ac:dyDescent="0.35">
      <c r="E479" s="60" t="str">
        <f t="shared" si="16"/>
        <v/>
      </c>
      <c r="F479" t="str">
        <f t="shared" si="17"/>
        <v>B00-A00</v>
      </c>
      <c r="G479">
        <v>477</v>
      </c>
    </row>
    <row r="480" spans="5:7" x14ac:dyDescent="0.35">
      <c r="E480" s="60" t="str">
        <f t="shared" si="16"/>
        <v/>
      </c>
      <c r="F480" t="str">
        <f t="shared" si="17"/>
        <v>B00-A00</v>
      </c>
      <c r="G480">
        <v>478</v>
      </c>
    </row>
    <row r="481" spans="5:7" x14ac:dyDescent="0.35">
      <c r="E481" s="60" t="str">
        <f t="shared" si="16"/>
        <v/>
      </c>
      <c r="F481" t="str">
        <f t="shared" si="17"/>
        <v>B00-A00</v>
      </c>
      <c r="G481">
        <v>479</v>
      </c>
    </row>
    <row r="482" spans="5:7" x14ac:dyDescent="0.35">
      <c r="E482" s="60" t="str">
        <f t="shared" si="16"/>
        <v/>
      </c>
      <c r="F482" t="str">
        <f t="shared" si="17"/>
        <v>B00-A00</v>
      </c>
      <c r="G482">
        <v>480</v>
      </c>
    </row>
    <row r="483" spans="5:7" x14ac:dyDescent="0.35">
      <c r="E483" s="60" t="str">
        <f t="shared" si="16"/>
        <v/>
      </c>
      <c r="F483" t="str">
        <f t="shared" si="17"/>
        <v>B00-A00</v>
      </c>
      <c r="G483">
        <v>481</v>
      </c>
    </row>
    <row r="484" spans="5:7" x14ac:dyDescent="0.35">
      <c r="E484" s="60" t="str">
        <f t="shared" si="16"/>
        <v/>
      </c>
      <c r="F484" t="str">
        <f t="shared" si="17"/>
        <v>B00-A00</v>
      </c>
      <c r="G484">
        <v>482</v>
      </c>
    </row>
    <row r="485" spans="5:7" x14ac:dyDescent="0.35">
      <c r="E485" s="60" t="str">
        <f t="shared" si="16"/>
        <v/>
      </c>
      <c r="F485" t="str">
        <f t="shared" si="17"/>
        <v>B00-A00</v>
      </c>
      <c r="G485">
        <v>483</v>
      </c>
    </row>
    <row r="486" spans="5:7" x14ac:dyDescent="0.35">
      <c r="E486" s="60" t="str">
        <f t="shared" si="16"/>
        <v/>
      </c>
      <c r="F486" t="str">
        <f t="shared" si="17"/>
        <v>B00-A00</v>
      </c>
      <c r="G486">
        <v>484</v>
      </c>
    </row>
    <row r="487" spans="5:7" x14ac:dyDescent="0.35">
      <c r="E487" s="60" t="str">
        <f t="shared" si="16"/>
        <v/>
      </c>
      <c r="F487" t="str">
        <f t="shared" si="17"/>
        <v>B00-A00</v>
      </c>
      <c r="G487">
        <v>485</v>
      </c>
    </row>
    <row r="488" spans="5:7" x14ac:dyDescent="0.35">
      <c r="E488" s="60" t="str">
        <f t="shared" si="16"/>
        <v/>
      </c>
      <c r="F488" t="str">
        <f t="shared" si="17"/>
        <v>B00-A00</v>
      </c>
      <c r="G488">
        <v>486</v>
      </c>
    </row>
    <row r="489" spans="5:7" x14ac:dyDescent="0.35">
      <c r="E489" s="60" t="str">
        <f t="shared" si="16"/>
        <v/>
      </c>
      <c r="F489" t="str">
        <f t="shared" si="17"/>
        <v>B00-A00</v>
      </c>
      <c r="G489">
        <v>487</v>
      </c>
    </row>
    <row r="490" spans="5:7" x14ac:dyDescent="0.35">
      <c r="E490" s="60" t="str">
        <f t="shared" si="16"/>
        <v/>
      </c>
      <c r="F490" t="str">
        <f t="shared" si="17"/>
        <v>B00-A00</v>
      </c>
      <c r="G490">
        <v>488</v>
      </c>
    </row>
    <row r="491" spans="5:7" x14ac:dyDescent="0.35">
      <c r="E491" s="60" t="str">
        <f t="shared" si="16"/>
        <v/>
      </c>
      <c r="F491" t="str">
        <f t="shared" si="17"/>
        <v>B00-A00</v>
      </c>
      <c r="G491">
        <v>489</v>
      </c>
    </row>
    <row r="492" spans="5:7" x14ac:dyDescent="0.35">
      <c r="E492" s="60" t="str">
        <f t="shared" si="16"/>
        <v/>
      </c>
      <c r="F492" t="str">
        <f t="shared" si="17"/>
        <v>B00-A00</v>
      </c>
      <c r="G492">
        <v>490</v>
      </c>
    </row>
    <row r="493" spans="5:7" x14ac:dyDescent="0.35">
      <c r="E493" s="60" t="str">
        <f t="shared" si="16"/>
        <v/>
      </c>
      <c r="F493" t="str">
        <f t="shared" si="17"/>
        <v>B00-A00</v>
      </c>
      <c r="G493">
        <v>491</v>
      </c>
    </row>
    <row r="494" spans="5:7" x14ac:dyDescent="0.35">
      <c r="E494" s="60" t="str">
        <f t="shared" si="16"/>
        <v/>
      </c>
      <c r="F494" t="str">
        <f t="shared" si="17"/>
        <v>B00-A00</v>
      </c>
      <c r="G494">
        <v>492</v>
      </c>
    </row>
    <row r="495" spans="5:7" x14ac:dyDescent="0.35">
      <c r="E495" s="60" t="str">
        <f t="shared" si="16"/>
        <v/>
      </c>
      <c r="F495" t="str">
        <f t="shared" si="17"/>
        <v>B00-A00</v>
      </c>
      <c r="G495">
        <v>493</v>
      </c>
    </row>
    <row r="496" spans="5:7" x14ac:dyDescent="0.35">
      <c r="E496" s="60" t="str">
        <f t="shared" si="16"/>
        <v/>
      </c>
      <c r="F496" t="str">
        <f t="shared" si="17"/>
        <v>B00-A00</v>
      </c>
      <c r="G496">
        <v>494</v>
      </c>
    </row>
    <row r="497" spans="5:7" x14ac:dyDescent="0.35">
      <c r="E497" s="60" t="str">
        <f t="shared" si="16"/>
        <v/>
      </c>
      <c r="F497" t="str">
        <f t="shared" si="17"/>
        <v>B00-A00</v>
      </c>
      <c r="G497">
        <v>495</v>
      </c>
    </row>
    <row r="498" spans="5:7" x14ac:dyDescent="0.35">
      <c r="E498" s="60" t="str">
        <f t="shared" si="16"/>
        <v/>
      </c>
      <c r="F498" t="str">
        <f t="shared" si="17"/>
        <v>B00-A00</v>
      </c>
      <c r="G498">
        <v>496</v>
      </c>
    </row>
    <row r="499" spans="5:7" x14ac:dyDescent="0.35">
      <c r="E499" s="60" t="str">
        <f t="shared" si="16"/>
        <v/>
      </c>
      <c r="F499" t="str">
        <f t="shared" si="17"/>
        <v>B00-A00</v>
      </c>
      <c r="G499">
        <v>497</v>
      </c>
    </row>
    <row r="500" spans="5:7" x14ac:dyDescent="0.35">
      <c r="E500" s="60" t="str">
        <f t="shared" si="16"/>
        <v/>
      </c>
      <c r="F500" t="str">
        <f t="shared" si="17"/>
        <v>B00-A00</v>
      </c>
      <c r="G500">
        <v>498</v>
      </c>
    </row>
    <row r="646" spans="31:54" x14ac:dyDescent="0.35">
      <c r="AE646" s="47"/>
      <c r="AX646" t="s">
        <v>11</v>
      </c>
    </row>
    <row r="647" spans="31:54" x14ac:dyDescent="0.35">
      <c r="AO647" t="s">
        <v>0</v>
      </c>
    </row>
    <row r="648" spans="31:54" x14ac:dyDescent="0.35">
      <c r="AO648" t="s">
        <v>1</v>
      </c>
      <c r="AP648">
        <f>Main!AP648</f>
        <v>0</v>
      </c>
      <c r="AV648" t="s">
        <v>5</v>
      </c>
      <c r="AX648" t="str">
        <f>IF(Main!AX648="","",Main!AX648)</f>
        <v/>
      </c>
    </row>
    <row r="649" spans="31:54" x14ac:dyDescent="0.35">
      <c r="AO649" t="s">
        <v>2</v>
      </c>
      <c r="AP649">
        <f>Main!AP649</f>
        <v>0</v>
      </c>
      <c r="AV649" t="s">
        <v>6</v>
      </c>
      <c r="AX649" t="str">
        <f>IF(Main!AX649="","",Main!AX649)</f>
        <v/>
      </c>
    </row>
    <row r="650" spans="31:54" x14ac:dyDescent="0.35">
      <c r="AF650" s="62"/>
      <c r="AN650" s="62"/>
      <c r="AO650" t="s">
        <v>3</v>
      </c>
      <c r="AP650">
        <f>Main!AP650</f>
        <v>0</v>
      </c>
      <c r="AV650" t="s">
        <v>7</v>
      </c>
      <c r="AX650" t="str">
        <f>IF(Main!AX650="","",Main!AX650)</f>
        <v/>
      </c>
    </row>
    <row r="651" spans="31:54" x14ac:dyDescent="0.35">
      <c r="AO651" t="s">
        <v>4</v>
      </c>
      <c r="AP651">
        <f>Main!AP651</f>
        <v>0</v>
      </c>
      <c r="AV651" t="s">
        <v>339</v>
      </c>
    </row>
    <row r="652" spans="31:54" x14ac:dyDescent="0.35">
      <c r="AS652" t="str">
        <f>"B"&amp;TEXT(BA652,"00")&amp;"-A"&amp;TEXT(BB652,"00")</f>
        <v>B01-A01</v>
      </c>
      <c r="AX652" t="s">
        <v>11</v>
      </c>
      <c r="BA652">
        <v>1</v>
      </c>
      <c r="BB652">
        <v>1</v>
      </c>
    </row>
    <row r="654" spans="31:54" x14ac:dyDescent="0.35">
      <c r="AM654" t="b">
        <v>0</v>
      </c>
      <c r="AO654" t="s">
        <v>357</v>
      </c>
    </row>
    <row r="655" spans="31:54" x14ac:dyDescent="0.35">
      <c r="AM655" t="s">
        <v>111</v>
      </c>
      <c r="AO655" t="s">
        <v>99</v>
      </c>
      <c r="AT655" t="s">
        <v>105</v>
      </c>
      <c r="AZ655" t="str">
        <f>IF(COUNTA(AR655:AS658,AV655:AY657,AP676)=0,"XXX","")</f>
        <v>XXX</v>
      </c>
    </row>
    <row r="656" spans="31:54" x14ac:dyDescent="0.35">
      <c r="AM656" t="s">
        <v>242</v>
      </c>
      <c r="AO656" t="s">
        <v>100</v>
      </c>
      <c r="AT656" t="s">
        <v>106</v>
      </c>
    </row>
    <row r="657" spans="39:52" x14ac:dyDescent="0.35">
      <c r="AO657" t="s">
        <v>176</v>
      </c>
      <c r="AT657" t="s">
        <v>102</v>
      </c>
    </row>
    <row r="658" spans="39:52" x14ac:dyDescent="0.35">
      <c r="AM658" t="s">
        <v>247</v>
      </c>
      <c r="AO658" t="s">
        <v>340</v>
      </c>
    </row>
    <row r="659" spans="39:52" x14ac:dyDescent="0.35">
      <c r="AM659" t="s">
        <v>107</v>
      </c>
      <c r="AO659" t="s">
        <v>341</v>
      </c>
      <c r="AZ659" t="s">
        <v>342</v>
      </c>
    </row>
    <row r="660" spans="39:52" x14ac:dyDescent="0.35">
      <c r="AO660" t="s">
        <v>104</v>
      </c>
      <c r="AR660" t="s">
        <v>110</v>
      </c>
      <c r="AZ660" t="s">
        <v>342</v>
      </c>
    </row>
    <row r="661" spans="39:52" x14ac:dyDescent="0.35">
      <c r="AM661" t="s">
        <v>108</v>
      </c>
      <c r="AZ661" t="s">
        <v>342</v>
      </c>
    </row>
    <row r="662" spans="39:52" x14ac:dyDescent="0.35">
      <c r="AM662" t="s">
        <v>244</v>
      </c>
      <c r="AZ662" t="s">
        <v>342</v>
      </c>
    </row>
    <row r="663" spans="39:52" x14ac:dyDescent="0.35">
      <c r="AM663" t="s">
        <v>243</v>
      </c>
      <c r="AO663" t="s">
        <v>112</v>
      </c>
      <c r="AZ663" t="s">
        <v>342</v>
      </c>
    </row>
    <row r="664" spans="39:52" x14ac:dyDescent="0.35">
      <c r="AM664" t="s">
        <v>245</v>
      </c>
      <c r="AO664" t="s">
        <v>113</v>
      </c>
      <c r="AQ664" t="s">
        <v>114</v>
      </c>
      <c r="AZ664" t="s">
        <v>342</v>
      </c>
    </row>
    <row r="665" spans="39:52" x14ac:dyDescent="0.35">
      <c r="AM665" t="s">
        <v>246</v>
      </c>
      <c r="AZ665" t="s">
        <v>342</v>
      </c>
    </row>
    <row r="666" spans="39:52" x14ac:dyDescent="0.35">
      <c r="AM666" t="s">
        <v>337</v>
      </c>
      <c r="AZ666" t="s">
        <v>342</v>
      </c>
    </row>
    <row r="667" spans="39:52" x14ac:dyDescent="0.35">
      <c r="AM667" t="s">
        <v>338</v>
      </c>
      <c r="AO667" t="s">
        <v>115</v>
      </c>
      <c r="AZ667" t="s">
        <v>342</v>
      </c>
    </row>
    <row r="668" spans="39:52" x14ac:dyDescent="0.35">
      <c r="AO668" t="s">
        <v>116</v>
      </c>
      <c r="AP668" t="s">
        <v>117</v>
      </c>
      <c r="AR668" t="s">
        <v>118</v>
      </c>
      <c r="AS668" t="s">
        <v>122</v>
      </c>
      <c r="AZ668" t="s">
        <v>342</v>
      </c>
    </row>
    <row r="669" spans="39:52" x14ac:dyDescent="0.35">
      <c r="AO669" t="s">
        <v>119</v>
      </c>
      <c r="AP669" t="s">
        <v>121</v>
      </c>
      <c r="AR669">
        <v>1</v>
      </c>
      <c r="AZ669" t="s">
        <v>342</v>
      </c>
    </row>
    <row r="670" spans="39:52" x14ac:dyDescent="0.35">
      <c r="AO670" t="s">
        <v>120</v>
      </c>
      <c r="AP670" t="s">
        <v>121</v>
      </c>
      <c r="AR670">
        <v>1</v>
      </c>
      <c r="AZ670" t="s">
        <v>342</v>
      </c>
    </row>
    <row r="671" spans="39:52" x14ac:dyDescent="0.35">
      <c r="AO671" t="s">
        <v>123</v>
      </c>
      <c r="AR671">
        <v>0.1</v>
      </c>
    </row>
    <row r="672" spans="39:52" x14ac:dyDescent="0.35">
      <c r="AO672" t="s">
        <v>124</v>
      </c>
      <c r="AR672" t="s">
        <v>346</v>
      </c>
    </row>
    <row r="673" spans="39:52" x14ac:dyDescent="0.35">
      <c r="AO673" t="s">
        <v>103</v>
      </c>
      <c r="AR673" t="s">
        <v>109</v>
      </c>
      <c r="AZ673" t="s">
        <v>342</v>
      </c>
    </row>
    <row r="674" spans="39:52" x14ac:dyDescent="0.35">
      <c r="AZ674" t="s">
        <v>342</v>
      </c>
    </row>
    <row r="676" spans="39:52" x14ac:dyDescent="0.35">
      <c r="AO676" t="s">
        <v>125</v>
      </c>
    </row>
    <row r="682" spans="39:52" x14ac:dyDescent="0.35">
      <c r="AZ682" t="s">
        <v>342</v>
      </c>
    </row>
    <row r="683" spans="39:52" x14ac:dyDescent="0.35">
      <c r="AM683" t="b">
        <v>0</v>
      </c>
      <c r="AO683" t="s">
        <v>126</v>
      </c>
    </row>
    <row r="684" spans="39:52" x14ac:dyDescent="0.35">
      <c r="AO684" t="s">
        <v>347</v>
      </c>
      <c r="AZ684" t="str">
        <f>IF(COUNTA(AR684:AS691)=0,"XXX","")</f>
        <v>XXX</v>
      </c>
    </row>
    <row r="685" spans="39:52" x14ac:dyDescent="0.35">
      <c r="AO685" t="s">
        <v>348</v>
      </c>
    </row>
    <row r="686" spans="39:52" x14ac:dyDescent="0.35">
      <c r="AO686" t="s">
        <v>349</v>
      </c>
    </row>
    <row r="687" spans="39:52" x14ac:dyDescent="0.35">
      <c r="AO687" t="s">
        <v>350</v>
      </c>
    </row>
    <row r="688" spans="39:52" x14ac:dyDescent="0.35">
      <c r="AO688" t="s">
        <v>130</v>
      </c>
    </row>
    <row r="689" spans="39:52" x14ac:dyDescent="0.35">
      <c r="AM689" t="s">
        <v>131</v>
      </c>
      <c r="AO689" t="s">
        <v>127</v>
      </c>
    </row>
    <row r="690" spans="39:52" x14ac:dyDescent="0.35">
      <c r="AM690" t="s">
        <v>132</v>
      </c>
      <c r="AO690" t="s">
        <v>128</v>
      </c>
    </row>
    <row r="691" spans="39:52" x14ac:dyDescent="0.35">
      <c r="AM691" t="s">
        <v>133</v>
      </c>
      <c r="AO691" t="s">
        <v>129</v>
      </c>
    </row>
    <row r="692" spans="39:52" x14ac:dyDescent="0.35">
      <c r="AZ692" t="s">
        <v>342</v>
      </c>
    </row>
    <row r="693" spans="39:52" x14ac:dyDescent="0.35">
      <c r="AM693" t="b">
        <v>0</v>
      </c>
      <c r="AO693" t="s">
        <v>134</v>
      </c>
    </row>
    <row r="694" spans="39:52" x14ac:dyDescent="0.35">
      <c r="AM694" t="s">
        <v>433</v>
      </c>
      <c r="AO694" t="s">
        <v>135</v>
      </c>
      <c r="AZ694" t="str">
        <f>IF(COUNTA(AT694)=0,"XXX","")</f>
        <v>XXX</v>
      </c>
    </row>
    <row r="695" spans="39:52" x14ac:dyDescent="0.35">
      <c r="AM695" t="s">
        <v>434</v>
      </c>
      <c r="AZ695" t="s">
        <v>342</v>
      </c>
    </row>
    <row r="696" spans="39:52" x14ac:dyDescent="0.35">
      <c r="AM696" t="b">
        <v>0</v>
      </c>
      <c r="AO696" t="s">
        <v>136</v>
      </c>
    </row>
    <row r="697" spans="39:52" x14ac:dyDescent="0.35">
      <c r="AM697" t="s">
        <v>142</v>
      </c>
      <c r="AO697" t="s">
        <v>137</v>
      </c>
      <c r="AT697" t="str">
        <f>IF(AR697="Partially Open","Open Up To (m)","")</f>
        <v/>
      </c>
      <c r="AZ697" t="str">
        <f>IF(COUNTA(AR697:AS698,AP699,AR702:AS703,AV697,AV702,AP704,AR707,AV707,AR708,AP709,AR712,AR713,AP714,AV712)=0,"XXX","")</f>
        <v>XXX</v>
      </c>
    </row>
    <row r="698" spans="39:52" x14ac:dyDescent="0.35">
      <c r="AM698" t="s">
        <v>178</v>
      </c>
      <c r="AO698" t="s">
        <v>138</v>
      </c>
    </row>
    <row r="699" spans="39:52" x14ac:dyDescent="0.35">
      <c r="AM699" t="s">
        <v>179</v>
      </c>
      <c r="AO699" t="s">
        <v>45</v>
      </c>
    </row>
    <row r="700" spans="39:52" x14ac:dyDescent="0.35">
      <c r="AZ700" t="s">
        <v>342</v>
      </c>
    </row>
    <row r="701" spans="39:52" x14ac:dyDescent="0.35">
      <c r="AO701" t="s">
        <v>139</v>
      </c>
    </row>
    <row r="702" spans="39:52" x14ac:dyDescent="0.35">
      <c r="AM702" t="s">
        <v>143</v>
      </c>
      <c r="AO702" t="s">
        <v>137</v>
      </c>
      <c r="AT702" t="str">
        <f>IF(AR702="Partially Open","Open Up To (m)","")</f>
        <v/>
      </c>
    </row>
    <row r="703" spans="39:52" x14ac:dyDescent="0.35">
      <c r="AM703" t="s">
        <v>180</v>
      </c>
      <c r="AO703" t="s">
        <v>138</v>
      </c>
    </row>
    <row r="704" spans="39:52" x14ac:dyDescent="0.35">
      <c r="AO704" t="s">
        <v>45</v>
      </c>
    </row>
    <row r="705" spans="39:60" x14ac:dyDescent="0.35">
      <c r="AZ705" t="s">
        <v>342</v>
      </c>
    </row>
    <row r="706" spans="39:60" x14ac:dyDescent="0.35">
      <c r="AM706" t="s">
        <v>435</v>
      </c>
      <c r="AO706" t="s">
        <v>140</v>
      </c>
    </row>
    <row r="707" spans="39:60" x14ac:dyDescent="0.35">
      <c r="AM707" t="s">
        <v>436</v>
      </c>
      <c r="AO707" t="s">
        <v>137</v>
      </c>
      <c r="AT707" t="str">
        <f>IF(AR707="Partially Open","Open Up To (m)","")</f>
        <v/>
      </c>
    </row>
    <row r="708" spans="39:60" x14ac:dyDescent="0.35">
      <c r="AO708" t="s">
        <v>138</v>
      </c>
    </row>
    <row r="709" spans="39:60" x14ac:dyDescent="0.35">
      <c r="AM709" t="s">
        <v>437</v>
      </c>
      <c r="AO709" t="s">
        <v>45</v>
      </c>
    </row>
    <row r="710" spans="39:60" x14ac:dyDescent="0.35">
      <c r="AZ710" t="s">
        <v>342</v>
      </c>
    </row>
    <row r="711" spans="39:60" x14ac:dyDescent="0.35">
      <c r="AM711" t="s">
        <v>438</v>
      </c>
      <c r="AO711" t="s">
        <v>141</v>
      </c>
    </row>
    <row r="712" spans="39:60" x14ac:dyDescent="0.35">
      <c r="AM712" t="s">
        <v>439</v>
      </c>
      <c r="AO712" t="s">
        <v>137</v>
      </c>
      <c r="AT712" t="str">
        <f>IF(AR712="Partially Open","Open Up To (m)","")</f>
        <v/>
      </c>
    </row>
    <row r="713" spans="39:60" x14ac:dyDescent="0.35">
      <c r="AO713" t="s">
        <v>138</v>
      </c>
    </row>
    <row r="714" spans="39:60" x14ac:dyDescent="0.35">
      <c r="AO714" t="s">
        <v>45</v>
      </c>
    </row>
    <row r="716" spans="39:60" x14ac:dyDescent="0.35">
      <c r="AO716" t="s">
        <v>144</v>
      </c>
    </row>
    <row r="717" spans="39:60" x14ac:dyDescent="0.35">
      <c r="AM717" t="s">
        <v>147</v>
      </c>
      <c r="AO717" t="s">
        <v>145</v>
      </c>
      <c r="AR717" t="s">
        <v>147</v>
      </c>
    </row>
    <row r="718" spans="39:60" x14ac:dyDescent="0.35">
      <c r="AM718" t="s">
        <v>181</v>
      </c>
      <c r="AO718" t="s">
        <v>146</v>
      </c>
      <c r="AR718" t="str">
        <f>IF(OR(AR717="None",AR717="Others"),"",BE767)</f>
        <v>FCSQ50: S-ZAS(AZ120)-ZSP-0.4-Ral bb , Q-ZAS(AZ150)-ZSP-0.5-Ral dd , 50mm RW Core</v>
      </c>
      <c r="BA718" t="s">
        <v>192</v>
      </c>
      <c r="BB718" t="s">
        <v>195</v>
      </c>
      <c r="BC718" t="s">
        <v>198</v>
      </c>
      <c r="BD718" t="s">
        <v>203</v>
      </c>
      <c r="BE718" t="s">
        <v>206</v>
      </c>
      <c r="BF718" t="s">
        <v>211</v>
      </c>
      <c r="BG718" t="s">
        <v>215</v>
      </c>
      <c r="BH718" t="s">
        <v>147</v>
      </c>
    </row>
    <row r="719" spans="39:60" x14ac:dyDescent="0.35">
      <c r="AM719" t="s">
        <v>182</v>
      </c>
      <c r="AO719" t="s">
        <v>149</v>
      </c>
      <c r="AR719" t="s">
        <v>155</v>
      </c>
      <c r="BA719" t="s">
        <v>193</v>
      </c>
      <c r="BB719" t="s">
        <v>196</v>
      </c>
      <c r="BC719" t="s">
        <v>199</v>
      </c>
      <c r="BD719" t="s">
        <v>204</v>
      </c>
      <c r="BE719" t="s">
        <v>207</v>
      </c>
      <c r="BF719" t="s">
        <v>212</v>
      </c>
      <c r="BG719" t="s">
        <v>216</v>
      </c>
      <c r="BH719" t="s">
        <v>181</v>
      </c>
    </row>
    <row r="720" spans="39:60" x14ac:dyDescent="0.35">
      <c r="AM720" t="s">
        <v>40</v>
      </c>
      <c r="AO720" t="s">
        <v>146</v>
      </c>
      <c r="AR720" t="str">
        <f>IF(OR(AR719="None",AR719="Others"),"",BC767)</f>
        <v/>
      </c>
      <c r="BA720" t="s">
        <v>194</v>
      </c>
      <c r="BB720" t="s">
        <v>197</v>
      </c>
      <c r="BC720" t="s">
        <v>200</v>
      </c>
      <c r="BD720" t="s">
        <v>205</v>
      </c>
      <c r="BE720" t="s">
        <v>208</v>
      </c>
      <c r="BF720" t="s">
        <v>213</v>
      </c>
      <c r="BH720" t="s">
        <v>182</v>
      </c>
    </row>
    <row r="721" spans="39:63" x14ac:dyDescent="0.35">
      <c r="AM721" t="s">
        <v>155</v>
      </c>
      <c r="AO721" t="s">
        <v>148</v>
      </c>
      <c r="AR721" t="s">
        <v>155</v>
      </c>
      <c r="BA721" t="s">
        <v>155</v>
      </c>
      <c r="BC721" t="s">
        <v>201</v>
      </c>
      <c r="BD721" t="s">
        <v>238</v>
      </c>
      <c r="BE721" t="s">
        <v>209</v>
      </c>
      <c r="BF721" t="s">
        <v>236</v>
      </c>
      <c r="BH721" t="s">
        <v>40</v>
      </c>
    </row>
    <row r="722" spans="39:63" x14ac:dyDescent="0.35">
      <c r="AO722" t="s">
        <v>146</v>
      </c>
      <c r="AR722" t="str">
        <f>IF(OR(AR721="None",AR721="Others"),"",BH732)</f>
        <v/>
      </c>
      <c r="BC722" t="s">
        <v>202</v>
      </c>
      <c r="BE722" t="s">
        <v>210</v>
      </c>
      <c r="BF722" t="s">
        <v>214</v>
      </c>
      <c r="BH722" t="s">
        <v>155</v>
      </c>
    </row>
    <row r="723" spans="39:63" x14ac:dyDescent="0.35">
      <c r="AM723" t="s">
        <v>54</v>
      </c>
      <c r="AO723" t="s">
        <v>150</v>
      </c>
      <c r="AR723" t="s">
        <v>147</v>
      </c>
      <c r="BF723" t="s">
        <v>197</v>
      </c>
    </row>
    <row r="724" spans="39:63" x14ac:dyDescent="0.35">
      <c r="AM724" t="s">
        <v>184</v>
      </c>
      <c r="AO724" t="s">
        <v>146</v>
      </c>
      <c r="AR724" t="str">
        <f>IF(OR(AR723="None",AR723="Others"),"",BD767)</f>
        <v>TASQ60: S-Alum-SP(ss)-0.7-Ral dd , Q-ZAS(AZ150)-SP(ff)--0-Ral gg , 60mm PUR Core</v>
      </c>
    </row>
    <row r="725" spans="39:63" x14ac:dyDescent="0.35">
      <c r="AM725" t="s">
        <v>185</v>
      </c>
      <c r="AO725" t="s">
        <v>152</v>
      </c>
      <c r="AR725" t="s">
        <v>155</v>
      </c>
      <c r="BB725" t="s">
        <v>217</v>
      </c>
      <c r="BC725" t="s">
        <v>218</v>
      </c>
      <c r="BD725" t="s">
        <v>233</v>
      </c>
      <c r="BE725" t="s">
        <v>235</v>
      </c>
    </row>
    <row r="726" spans="39:63" x14ac:dyDescent="0.35">
      <c r="AM726" t="s">
        <v>186</v>
      </c>
      <c r="AO726" t="s">
        <v>146</v>
      </c>
      <c r="AR726" t="str">
        <f>IF(OR(AR725="None",AR725="Others"),"",BB767)</f>
        <v/>
      </c>
      <c r="BB726" t="str">
        <f>AR725</f>
        <v>None</v>
      </c>
      <c r="BC726" t="s">
        <v>40</v>
      </c>
      <c r="BD726" t="str">
        <f>AR723</f>
        <v>BCOMS</v>
      </c>
      <c r="BE726" t="str">
        <f>AR717</f>
        <v>BCOMS</v>
      </c>
      <c r="BG726" t="s">
        <v>163</v>
      </c>
      <c r="BH726" t="str">
        <f>AR721</f>
        <v>None</v>
      </c>
      <c r="BI726" t="str">
        <f>AR727</f>
        <v>None</v>
      </c>
      <c r="BK726" t="s">
        <v>163</v>
      </c>
    </row>
    <row r="727" spans="39:63" x14ac:dyDescent="0.35">
      <c r="AM727" t="s">
        <v>187</v>
      </c>
      <c r="AO727" t="s">
        <v>151</v>
      </c>
      <c r="AR727" t="s">
        <v>155</v>
      </c>
      <c r="BB727" t="b">
        <v>0</v>
      </c>
      <c r="BC727" t="b">
        <v>0</v>
      </c>
      <c r="BD727" t="b">
        <v>0</v>
      </c>
      <c r="BE727" t="b">
        <v>0</v>
      </c>
      <c r="BG727" t="s">
        <v>54</v>
      </c>
      <c r="BH727" t="s">
        <v>216</v>
      </c>
      <c r="BI727" t="s">
        <v>216</v>
      </c>
      <c r="BK727" t="s">
        <v>230</v>
      </c>
    </row>
    <row r="728" spans="39:63" x14ac:dyDescent="0.35">
      <c r="AM728" t="s">
        <v>188</v>
      </c>
      <c r="AO728" t="s">
        <v>146</v>
      </c>
      <c r="AR728" t="str">
        <f>IF(OR(AR727="None",AR727="Others"),"",BI732)</f>
        <v/>
      </c>
      <c r="BB728" t="b">
        <v>0</v>
      </c>
      <c r="BC728" t="b">
        <v>0</v>
      </c>
      <c r="BD728" t="b">
        <v>0</v>
      </c>
      <c r="BE728" t="b">
        <v>1</v>
      </c>
      <c r="BG728" t="s">
        <v>53</v>
      </c>
      <c r="BH728">
        <v>100</v>
      </c>
      <c r="BI728">
        <v>100</v>
      </c>
      <c r="BK728" t="s">
        <v>229</v>
      </c>
    </row>
    <row r="729" spans="39:63" x14ac:dyDescent="0.35">
      <c r="AM729" t="s">
        <v>189</v>
      </c>
      <c r="AO729" t="s">
        <v>153</v>
      </c>
      <c r="AQ729" t="s">
        <v>431</v>
      </c>
      <c r="AU729" t="s">
        <v>441</v>
      </c>
      <c r="AW729" t="s">
        <v>155</v>
      </c>
      <c r="BB729" t="b">
        <v>1</v>
      </c>
      <c r="BC729" t="b">
        <v>1</v>
      </c>
      <c r="BD729" t="b">
        <v>1</v>
      </c>
      <c r="BG729" t="s">
        <v>220</v>
      </c>
      <c r="BH729">
        <v>3</v>
      </c>
      <c r="BI729">
        <v>2</v>
      </c>
      <c r="BK729" t="s">
        <v>234</v>
      </c>
    </row>
    <row r="730" spans="39:63" x14ac:dyDescent="0.35">
      <c r="AM730" t="s">
        <v>190</v>
      </c>
      <c r="AO730" t="s">
        <v>424</v>
      </c>
      <c r="AQ730" t="s">
        <v>72</v>
      </c>
      <c r="AU730" t="s">
        <v>440</v>
      </c>
      <c r="AW730" t="s">
        <v>155</v>
      </c>
      <c r="BB730" t="s">
        <v>211</v>
      </c>
      <c r="BC730" t="s">
        <v>212</v>
      </c>
      <c r="BD730" t="s">
        <v>211</v>
      </c>
      <c r="BE730" t="s">
        <v>211</v>
      </c>
      <c r="BF730" t="s">
        <v>222</v>
      </c>
      <c r="BG730" t="s">
        <v>219</v>
      </c>
    </row>
    <row r="731" spans="39:63" x14ac:dyDescent="0.35">
      <c r="AM731" t="s">
        <v>191</v>
      </c>
      <c r="BB731">
        <v>0.7</v>
      </c>
      <c r="BC731">
        <v>0.5</v>
      </c>
      <c r="BD731">
        <v>0.7</v>
      </c>
      <c r="BE731">
        <v>0.4</v>
      </c>
      <c r="BG731" t="s">
        <v>221</v>
      </c>
    </row>
    <row r="732" spans="39:63" x14ac:dyDescent="0.35">
      <c r="AM732" t="s">
        <v>156</v>
      </c>
      <c r="AO732" t="s">
        <v>125</v>
      </c>
      <c r="BB732" t="s">
        <v>196</v>
      </c>
      <c r="BC732" t="s">
        <v>195</v>
      </c>
      <c r="BD732" t="s">
        <v>196</v>
      </c>
      <c r="BE732" t="s">
        <v>195</v>
      </c>
      <c r="BG732" t="s">
        <v>223</v>
      </c>
      <c r="BH732" t="str">
        <f>"INS: "&amp;IF(BH727="Rockwool","RW-","FG-")&amp;BH728&amp;"mm-"&amp;BH729&amp;"kg/m3"</f>
        <v>INS: RW-100mm-3kg/m3</v>
      </c>
      <c r="BI732" t="str">
        <f>"INS: "&amp;IF(BI727="Rockwool","RW-","FG-")&amp;BI728&amp;"mm-"&amp;BI729&amp;"kg/m3"</f>
        <v>INS: RW-100mm-2kg/m3</v>
      </c>
    </row>
    <row r="733" spans="39:63" x14ac:dyDescent="0.35">
      <c r="AM733" t="s">
        <v>183</v>
      </c>
      <c r="BB733" t="s">
        <v>199</v>
      </c>
      <c r="BC733" t="s">
        <v>199</v>
      </c>
      <c r="BD733" t="s">
        <v>202</v>
      </c>
      <c r="BE733" t="s">
        <v>365</v>
      </c>
      <c r="BG733" t="s">
        <v>224</v>
      </c>
      <c r="BH733" t="s">
        <v>237</v>
      </c>
    </row>
    <row r="734" spans="39:63" x14ac:dyDescent="0.35">
      <c r="AM734" t="s">
        <v>428</v>
      </c>
      <c r="BB734" t="s">
        <v>205</v>
      </c>
      <c r="BC734" t="s">
        <v>205</v>
      </c>
      <c r="BD734" t="s">
        <v>205</v>
      </c>
      <c r="BE734" t="s">
        <v>203</v>
      </c>
      <c r="BG734" t="s">
        <v>225</v>
      </c>
    </row>
    <row r="735" spans="39:63" x14ac:dyDescent="0.35">
      <c r="AM735" t="s">
        <v>429</v>
      </c>
      <c r="BB735" t="s">
        <v>358</v>
      </c>
      <c r="BC735" t="s">
        <v>361</v>
      </c>
      <c r="BD735" t="s">
        <v>241</v>
      </c>
      <c r="BE735" t="s">
        <v>343</v>
      </c>
      <c r="BG735" t="s">
        <v>226</v>
      </c>
    </row>
    <row r="736" spans="39:63" x14ac:dyDescent="0.35">
      <c r="AM736" t="s">
        <v>430</v>
      </c>
      <c r="BB736" t="s">
        <v>210</v>
      </c>
      <c r="BC736" t="s">
        <v>210</v>
      </c>
      <c r="BD736" t="s">
        <v>210</v>
      </c>
      <c r="BE736" t="s">
        <v>210</v>
      </c>
      <c r="BG736" t="s">
        <v>227</v>
      </c>
    </row>
    <row r="737" spans="39:59" x14ac:dyDescent="0.35">
      <c r="AM737" t="s">
        <v>431</v>
      </c>
      <c r="BB737" t="s">
        <v>364</v>
      </c>
      <c r="BC737" t="s">
        <v>362</v>
      </c>
      <c r="BD737" t="s">
        <v>359</v>
      </c>
      <c r="BE737" t="s">
        <v>358</v>
      </c>
      <c r="BG737" t="s">
        <v>228</v>
      </c>
    </row>
    <row r="738" spans="39:59" x14ac:dyDescent="0.35">
      <c r="AZ738" t="s">
        <v>342</v>
      </c>
    </row>
    <row r="739" spans="39:59" x14ac:dyDescent="0.35">
      <c r="AO739" t="s">
        <v>157</v>
      </c>
      <c r="BB739">
        <v>60</v>
      </c>
      <c r="BD739">
        <v>60</v>
      </c>
      <c r="BE739">
        <v>50</v>
      </c>
      <c r="BF739" t="s">
        <v>231</v>
      </c>
      <c r="BG739" t="s">
        <v>229</v>
      </c>
    </row>
    <row r="740" spans="39:59" x14ac:dyDescent="0.35">
      <c r="AO740" t="s">
        <v>158</v>
      </c>
      <c r="AR740" t="s">
        <v>248</v>
      </c>
      <c r="AS740" t="str">
        <f>IF(AR740="Special","Material Specs","")</f>
        <v/>
      </c>
      <c r="BB740" t="s">
        <v>192</v>
      </c>
      <c r="BC740" t="s">
        <v>193</v>
      </c>
      <c r="BD740" t="s">
        <v>193</v>
      </c>
      <c r="BE740" t="s">
        <v>194</v>
      </c>
      <c r="BG740" t="s">
        <v>230</v>
      </c>
    </row>
    <row r="741" spans="39:59" ht="21" customHeight="1" x14ac:dyDescent="0.35">
      <c r="AM741" t="s">
        <v>248</v>
      </c>
      <c r="AO741" t="str">
        <f>IF(AR740="Standard*","* For Std Accessories, Eave Gutter, Downspouts, or Curved Eaves, External Wall Flashing and Trims are produced from the same materials as external wall panels. Internal Flashing and trims are produced from the same materials as internal wall panels.","")</f>
        <v>* For Std Accessories, Eave Gutter, Downspouts, or Curved Eaves, External Wall Flashing and Trims are produced from the same materials as external wall panels. Internal Flashing and trims are produced from the same materials as internal wall panels.</v>
      </c>
    </row>
    <row r="742" spans="39:59" x14ac:dyDescent="0.35">
      <c r="AM742" t="s">
        <v>205</v>
      </c>
      <c r="BB742" t="s">
        <v>214</v>
      </c>
      <c r="BC742" t="s">
        <v>213</v>
      </c>
      <c r="BD742" t="s">
        <v>213</v>
      </c>
      <c r="BE742" t="s">
        <v>213</v>
      </c>
      <c r="BF742" t="s">
        <v>232</v>
      </c>
      <c r="BG742" t="s">
        <v>219</v>
      </c>
    </row>
    <row r="743" spans="39:59" x14ac:dyDescent="0.35">
      <c r="AZ743" t="s">
        <v>342</v>
      </c>
      <c r="BB743">
        <v>0.5</v>
      </c>
      <c r="BE743">
        <v>0.5</v>
      </c>
      <c r="BG743" t="s">
        <v>221</v>
      </c>
    </row>
    <row r="744" spans="39:59" x14ac:dyDescent="0.35">
      <c r="AM744" t="b">
        <v>0</v>
      </c>
      <c r="AO744" t="s">
        <v>249</v>
      </c>
      <c r="BA744">
        <f>SUM(BA748:BA773)</f>
        <v>0</v>
      </c>
      <c r="BB744" t="s">
        <v>196</v>
      </c>
      <c r="BC744" t="s">
        <v>196</v>
      </c>
      <c r="BD744" t="s">
        <v>195</v>
      </c>
      <c r="BE744" t="s">
        <v>195</v>
      </c>
      <c r="BG744" t="s">
        <v>223</v>
      </c>
    </row>
    <row r="745" spans="39:59" x14ac:dyDescent="0.35">
      <c r="AM745" t="s">
        <v>147</v>
      </c>
      <c r="AO745" t="s">
        <v>160</v>
      </c>
      <c r="AR745" t="s">
        <v>147</v>
      </c>
      <c r="AX745" t="s">
        <v>275</v>
      </c>
      <c r="AZ745" t="str">
        <f>IF(COUNTA(AP749:AP773,AP775)=0,"XXX","")</f>
        <v>XXX</v>
      </c>
      <c r="BB745" t="s">
        <v>199</v>
      </c>
      <c r="BC745" t="s">
        <v>199</v>
      </c>
      <c r="BD745" t="s">
        <v>202</v>
      </c>
      <c r="BE745" t="s">
        <v>202</v>
      </c>
      <c r="BG745" t="s">
        <v>224</v>
      </c>
    </row>
    <row r="746" spans="39:59" ht="21" customHeight="1" x14ac:dyDescent="0.35">
      <c r="AM746" t="s">
        <v>40</v>
      </c>
      <c r="AO746" t="s">
        <v>161</v>
      </c>
      <c r="AP746" t="s">
        <v>99</v>
      </c>
      <c r="AQ746" t="s">
        <v>100</v>
      </c>
      <c r="AR746" t="s">
        <v>117</v>
      </c>
      <c r="AS746" t="s">
        <v>176</v>
      </c>
      <c r="AT746" t="s">
        <v>250</v>
      </c>
      <c r="AV746" t="s">
        <v>162</v>
      </c>
      <c r="AY746" t="s">
        <v>254</v>
      </c>
      <c r="BB746" t="s">
        <v>205</v>
      </c>
      <c r="BC746" t="s">
        <v>205</v>
      </c>
      <c r="BD746" t="s">
        <v>205</v>
      </c>
      <c r="BE746" t="s">
        <v>203</v>
      </c>
      <c r="BG746" t="s">
        <v>225</v>
      </c>
    </row>
    <row r="747" spans="39:59" x14ac:dyDescent="0.35">
      <c r="AM747" t="s">
        <v>251</v>
      </c>
      <c r="AV747" t="s">
        <v>163</v>
      </c>
      <c r="AW747" t="s">
        <v>146</v>
      </c>
      <c r="BB747">
        <v>333</v>
      </c>
      <c r="BC747" t="s">
        <v>356</v>
      </c>
      <c r="BD747" t="s">
        <v>360</v>
      </c>
      <c r="BG747" t="s">
        <v>226</v>
      </c>
    </row>
    <row r="748" spans="39:59" x14ac:dyDescent="0.35">
      <c r="AM748" t="s">
        <v>245</v>
      </c>
      <c r="BB748" t="s">
        <v>210</v>
      </c>
      <c r="BC748" t="s">
        <v>210</v>
      </c>
      <c r="BD748" t="s">
        <v>210</v>
      </c>
      <c r="BE748" t="s">
        <v>210</v>
      </c>
      <c r="BG748" t="s">
        <v>227</v>
      </c>
    </row>
    <row r="749" spans="39:59" x14ac:dyDescent="0.35">
      <c r="AO749" t="str">
        <f>IF(BA749&gt;0,1,"")</f>
        <v/>
      </c>
      <c r="BA749">
        <f t="shared" ref="BA749:BA773" si="18">IF(COUNTA(AP749:AY749)=0,0,1)</f>
        <v>0</v>
      </c>
      <c r="BB749">
        <v>333</v>
      </c>
      <c r="BC749" t="s">
        <v>363</v>
      </c>
      <c r="BD749" t="s">
        <v>355</v>
      </c>
      <c r="BE749" t="s">
        <v>359</v>
      </c>
      <c r="BG749" t="s">
        <v>228</v>
      </c>
    </row>
    <row r="750" spans="39:59" x14ac:dyDescent="0.35">
      <c r="AM750" t="s">
        <v>253</v>
      </c>
      <c r="AO750" t="str">
        <f t="shared" ref="AO750:AO773" si="19">IF(BA750&gt;0,1+AO749,"")</f>
        <v/>
      </c>
      <c r="BA750">
        <f t="shared" si="18"/>
        <v>0</v>
      </c>
    </row>
    <row r="751" spans="39:59" x14ac:dyDescent="0.35">
      <c r="AM751" t="s">
        <v>252</v>
      </c>
      <c r="AO751" t="str">
        <f t="shared" si="19"/>
        <v/>
      </c>
      <c r="BA751">
        <f t="shared" si="18"/>
        <v>0</v>
      </c>
      <c r="BB751" t="str">
        <f>IF(BB727=TRUE,"SS",IF(BB728=TRUE,IF(BB740="RW","FC","TC"),IF(BB740="RW","FW","TA")))</f>
        <v>TA</v>
      </c>
      <c r="BC751" t="str">
        <f>IF(BC727=TRUE,"SS",IF(BC728=TRUE,IF(BC740="RW","FC","TC"),IF(BC740="RW","FW","TA")))</f>
        <v>TA</v>
      </c>
      <c r="BD751" t="str">
        <f>IF(BD727=TRUE,"SS",IF(BD728=TRUE,IF(BD740="RW","FC","TC"),IF(BD740="RW","FW","TA")))</f>
        <v>TA</v>
      </c>
      <c r="BE751" t="str">
        <f>IF(BE727=TRUE,"SS",IF(BE728=TRUE,IF(BE740="RW","FC","TC"),IF(BE740="RW","FW","TA")))</f>
        <v>FC</v>
      </c>
      <c r="BF751" t="s">
        <v>117</v>
      </c>
    </row>
    <row r="752" spans="39:59" x14ac:dyDescent="0.35">
      <c r="AO752" t="str">
        <f t="shared" si="19"/>
        <v/>
      </c>
      <c r="BA752">
        <f t="shared" si="18"/>
        <v>0</v>
      </c>
      <c r="BB752" t="str">
        <f>BB730</f>
        <v>S</v>
      </c>
      <c r="BC752" t="str">
        <f>BC730</f>
        <v>U</v>
      </c>
      <c r="BD752" t="str">
        <f>BD730</f>
        <v>S</v>
      </c>
      <c r="BE752" t="str">
        <f>BE730</f>
        <v>S</v>
      </c>
      <c r="BF752" t="s">
        <v>239</v>
      </c>
    </row>
    <row r="753" spans="41:58" x14ac:dyDescent="0.35">
      <c r="AO753" t="str">
        <f t="shared" si="19"/>
        <v/>
      </c>
      <c r="BA753">
        <f t="shared" si="18"/>
        <v>0</v>
      </c>
      <c r="BB753" t="str">
        <f>IF(BB751="SS","",IF(BB742="FRK","O",BB742))</f>
        <v>V</v>
      </c>
      <c r="BC753" t="str">
        <f>IF(BC751="SS","",IF(BC742="FRK","O",BC742))</f>
        <v>Q</v>
      </c>
      <c r="BD753" t="str">
        <f>IF(BD751="SS","",IF(BD742="FRK","O",BD742))</f>
        <v>Q</v>
      </c>
      <c r="BE753" t="str">
        <f>IF(BE751="SS","",IF(BE742="FRK","O",BE742))</f>
        <v>Q</v>
      </c>
      <c r="BF753" t="s">
        <v>232</v>
      </c>
    </row>
    <row r="754" spans="41:58" x14ac:dyDescent="0.35">
      <c r="AO754" t="str">
        <f t="shared" si="19"/>
        <v/>
      </c>
      <c r="BA754">
        <f t="shared" si="18"/>
        <v>0</v>
      </c>
      <c r="BB754">
        <f>BB739</f>
        <v>60</v>
      </c>
      <c r="BC754">
        <f>BC739</f>
        <v>0</v>
      </c>
      <c r="BD754">
        <f>BD739</f>
        <v>60</v>
      </c>
      <c r="BE754">
        <f>BE739</f>
        <v>50</v>
      </c>
      <c r="BF754" t="s">
        <v>240</v>
      </c>
    </row>
    <row r="755" spans="41:58" x14ac:dyDescent="0.35">
      <c r="AO755" t="str">
        <f t="shared" si="19"/>
        <v/>
      </c>
      <c r="BA755">
        <f t="shared" si="18"/>
        <v>0</v>
      </c>
      <c r="BB755" t="str">
        <f>IF(AND(BB732="Steel",LEFT(BB733,1)="G"),"-GA"&amp;"("&amp;BB733&amp;")-",IF(BB732="Aluminum","-Alum-","-ZAS("&amp;BB733&amp;")-"))</f>
        <v>-Alum-</v>
      </c>
      <c r="BC755" t="str">
        <f>IF(AND(BC732="Steel",LEFT(BC733,1)="G"),"-GA"&amp;"("&amp;BC733&amp;")-",IF(BC732="Aluminum","-Alum-","-ZAS("&amp;BC733&amp;")-"))</f>
        <v>-GA(G60)-</v>
      </c>
      <c r="BD755" t="str">
        <f>IF(AND(BD732="Steel",LEFT(BD733,1)="G"),"-GA"&amp;"("&amp;BD733&amp;")-",IF(BD732="Aluminum","-Alum-","-ZAS("&amp;BD733&amp;")-"))</f>
        <v>-Alum-</v>
      </c>
      <c r="BE755" t="str">
        <f>IF(AND(BE732="Steel",LEFT(BE733,1)="G"),"-GA"&amp;"("&amp;BE733&amp;")-",IF(BE732="Aluminum","-Alum-","-ZAS("&amp;BE733&amp;")-"))</f>
        <v>-ZAS(AZ120)-</v>
      </c>
      <c r="BF755" t="s">
        <v>239</v>
      </c>
    </row>
    <row r="756" spans="41:58" x14ac:dyDescent="0.35">
      <c r="AO756" t="str">
        <f t="shared" si="19"/>
        <v/>
      </c>
      <c r="BA756">
        <f t="shared" si="18"/>
        <v>0</v>
      </c>
      <c r="BB756" t="str">
        <f>IF(BB742="FRK","",IF(AND(BB744="Steel",LEFT(BB745,1)="G"),"-GA"&amp;"("&amp;BB745&amp;")-",IF(BB744="Aluminum","-Alum-","-ZAS("&amp;BB745&amp;")-")))</f>
        <v>-Alum-</v>
      </c>
      <c r="BC756" t="str">
        <f>IF(BC742="FRK","",IF(AND(BC744="Steel",LEFT(BC745,1)="G"),"-GA"&amp;"("&amp;BC745&amp;")-",IF(BC744="Aluminum","-Alum-","-ZAS("&amp;BC745&amp;")-")))</f>
        <v>-Alum-</v>
      </c>
      <c r="BD756" t="str">
        <f>IF(BD742="FRK","",IF(AND(BD744="Steel",LEFT(BD745,1)="G"),"-GA"&amp;"("&amp;BD745&amp;")-",IF(BD744="Aluminum","-Alum-","-ZAS("&amp;BD745&amp;")-")))</f>
        <v>-ZAS(AZ150)-</v>
      </c>
      <c r="BE756" t="str">
        <f>IF(BE742="FRK","",IF(AND(BE744="Steel",LEFT(BE745,1)="G"),"-GA"&amp;"("&amp;BE745&amp;")-",IF(BE744="Aluminum","-Alum-","-ZAS("&amp;BE745&amp;")-")))</f>
        <v>-ZAS(AZ150)-</v>
      </c>
      <c r="BF756" t="s">
        <v>232</v>
      </c>
    </row>
    <row r="757" spans="41:58" x14ac:dyDescent="0.35">
      <c r="AO757" t="str">
        <f t="shared" si="19"/>
        <v/>
      </c>
      <c r="BA757">
        <f t="shared" si="18"/>
        <v>0</v>
      </c>
    </row>
    <row r="758" spans="41:58" x14ac:dyDescent="0.35">
      <c r="AO758" t="str">
        <f t="shared" si="19"/>
        <v/>
      </c>
      <c r="BA758">
        <f t="shared" si="18"/>
        <v>0</v>
      </c>
      <c r="BB758">
        <f>IF(BB742="FRK","",BB743)</f>
        <v>0.5</v>
      </c>
      <c r="BC758">
        <f>IF(BC742="FRK","",BC743)</f>
        <v>0</v>
      </c>
      <c r="BD758">
        <f>IF(BD742="FRK","",BD743)</f>
        <v>0</v>
      </c>
      <c r="BE758">
        <f>IF(BE742="FRK","",BE743)</f>
        <v>0.5</v>
      </c>
      <c r="BF758" t="s">
        <v>232</v>
      </c>
    </row>
    <row r="759" spans="41:58" x14ac:dyDescent="0.35">
      <c r="AO759" t="str">
        <f t="shared" si="19"/>
        <v/>
      </c>
      <c r="BA759">
        <f t="shared" si="18"/>
        <v>0</v>
      </c>
      <c r="BB759" t="str">
        <f>IF(BB742="FRK","",BB745&amp;"-")</f>
        <v>G60-</v>
      </c>
      <c r="BC759" t="str">
        <f>IF(BC742="FRK","",BC745&amp;"-")</f>
        <v>G60-</v>
      </c>
      <c r="BD759" t="str">
        <f>IF(BD742="FRK","",BD745&amp;"-")</f>
        <v>AZ150-</v>
      </c>
      <c r="BE759" t="str">
        <f>IF(BE742="FRK","",BE745&amp;"-")</f>
        <v>AZ150-</v>
      </c>
      <c r="BF759" t="s">
        <v>232</v>
      </c>
    </row>
    <row r="760" spans="41:58" x14ac:dyDescent="0.35">
      <c r="AO760" t="str">
        <f t="shared" si="19"/>
        <v/>
      </c>
      <c r="BA760">
        <f t="shared" si="18"/>
        <v>0</v>
      </c>
    </row>
    <row r="761" spans="41:58" x14ac:dyDescent="0.35">
      <c r="AO761" t="str">
        <f t="shared" si="19"/>
        <v/>
      </c>
      <c r="BA761">
        <f t="shared" si="18"/>
        <v>0</v>
      </c>
    </row>
    <row r="762" spans="41:58" x14ac:dyDescent="0.35">
      <c r="AO762" t="str">
        <f t="shared" si="19"/>
        <v/>
      </c>
      <c r="BA762">
        <f t="shared" si="18"/>
        <v>0</v>
      </c>
    </row>
    <row r="763" spans="41:58" x14ac:dyDescent="0.35">
      <c r="AO763" t="str">
        <f t="shared" si="19"/>
        <v/>
      </c>
      <c r="BA763">
        <f t="shared" si="18"/>
        <v>0</v>
      </c>
      <c r="BB763" t="str">
        <f>IF(BB734="Special","SP("&amp;IF(BB735="","See Remarks",BB735)&amp;")",BB734)</f>
        <v>SP(bb)</v>
      </c>
      <c r="BC763" t="str">
        <f>IF(BC734="Special","SP("&amp;IF(BC735="","See Remarks",BC735)&amp;")",BC734)</f>
        <v>SP(zz)</v>
      </c>
      <c r="BD763" t="str">
        <f>IF(BD734="Special","SP("&amp;IF(BD735="","See Remarks",BD735)&amp;")",BD734)</f>
        <v>SP(ss)</v>
      </c>
      <c r="BE763" t="str">
        <f>IF(BE734="Special","SP("&amp;IF(BE735="","See Remarks",BE735)&amp;")",BE734)</f>
        <v>ZSP</v>
      </c>
    </row>
    <row r="764" spans="41:58" x14ac:dyDescent="0.35">
      <c r="AO764" t="str">
        <f t="shared" si="19"/>
        <v/>
      </c>
      <c r="BA764">
        <f t="shared" si="18"/>
        <v>0</v>
      </c>
      <c r="BB764" t="str">
        <f>IF(BB763="Bare","",IF(BB736="Special Ral","-Ral "&amp;BB737,"-"&amp;BB736))</f>
        <v>-Ral nn</v>
      </c>
      <c r="BC764" t="str">
        <f>IF(BC763="Bare","",IF(BC736="Special Ral","-Ral "&amp;BC737,"-"&amp;BC736))</f>
        <v>-Ral xx</v>
      </c>
      <c r="BD764" t="str">
        <f>IF(BD763="Bare","",IF(BD736="Special Ral","-Ral "&amp;BD737,"-"&amp;BD736))</f>
        <v>-Ral dd</v>
      </c>
      <c r="BE764" t="str">
        <f>IF(BE763="Bare","",IF(BE736="Special Ral","-Ral "&amp;BE737,"-"&amp;BE736))</f>
        <v>-Ral bb</v>
      </c>
    </row>
    <row r="765" spans="41:58" x14ac:dyDescent="0.35">
      <c r="AO765" t="str">
        <f t="shared" si="19"/>
        <v/>
      </c>
      <c r="BA765">
        <f t="shared" si="18"/>
        <v>0</v>
      </c>
      <c r="BB765" t="str">
        <f>IF(BB742="FRK","",IF(BB746="Special","SP("&amp;IF(BB747="","See Remarks",BB747)&amp;")-",BB746))</f>
        <v>SP(333)-</v>
      </c>
      <c r="BC765" t="str">
        <f>IF(BC742="FRK","",IF(BC746="Special","SP("&amp;IF(BC747="","See Remarks",BC747)&amp;")-",BC746))</f>
        <v>SP(cc)-</v>
      </c>
      <c r="BD765" t="str">
        <f>IF(BD742="FRK","",IF(BD746="Special","SP("&amp;IF(BD747="","See Remarks",BD747)&amp;")-",BD746))</f>
        <v>SP(ff)-</v>
      </c>
      <c r="BE765" t="str">
        <f>IF(BE742="FRK","",IF(BE746="Special","SP("&amp;IF(BE747="","See Remarks",BE747)&amp;")-",BE746))</f>
        <v>ZSP</v>
      </c>
    </row>
    <row r="766" spans="41:58" x14ac:dyDescent="0.35">
      <c r="AO766" t="str">
        <f t="shared" si="19"/>
        <v/>
      </c>
      <c r="BA766">
        <f t="shared" si="18"/>
        <v>0</v>
      </c>
      <c r="BB766" t="str">
        <f>IF(BB742="FRK","",IF(BB765="Bare","",IF(BB748="Special Ral","-Ral "&amp;BB749,"-"&amp;BB748)))</f>
        <v>-Ral 333</v>
      </c>
      <c r="BC766" t="str">
        <f>IF(BC742="FRK","",IF(BC765="Bare","",IF(BC748="Special Ral","-Ral "&amp;BC749,"-"&amp;BC748)))</f>
        <v>-Ral vv</v>
      </c>
      <c r="BD766" t="str">
        <f>IF(BD742="FRK","",IF(BD765="Bare","",IF(BD748="Special Ral","-Ral "&amp;BD749,"-"&amp;BD748)))</f>
        <v>-Ral gg</v>
      </c>
      <c r="BE766" t="str">
        <f>IF(BE742="FRK","",IF(BE765="Bare","",IF(BE748="Special Ral","-Ral "&amp;BE749,"-"&amp;BE748)))</f>
        <v>-Ral dd</v>
      </c>
    </row>
    <row r="767" spans="41:58" x14ac:dyDescent="0.35">
      <c r="AO767" t="str">
        <f t="shared" si="19"/>
        <v/>
      </c>
      <c r="BA767">
        <f t="shared" si="18"/>
        <v>0</v>
      </c>
      <c r="BB767" t="str">
        <f>IF(BB751="SS","SS: "&amp;BB730&amp;BB755&amp;BB763&amp;"-"&amp;BB731&amp;BB764,BB751&amp;BB730&amp;BB753&amp;BB739&amp;": "&amp;BB730&amp;BB755&amp;BB763&amp;"-"&amp;BB731&amp;BB764&amp;" , "&amp;BB742&amp;BB756&amp;BB765&amp;"-"&amp;BB758&amp;BB766&amp;" , "&amp;BB754&amp;"mm "&amp;BB740&amp;" Core")</f>
        <v>TASV60: S-Alum-SP(bb)-0.7-Ral nn , V-Alum-SP(333)--0.5-Ral 333 , 60mm PIR Core</v>
      </c>
      <c r="BC767" t="str">
        <f>IF(BC751="SS","SS: "&amp;BC730&amp;BC755&amp;BC763&amp;"-"&amp;BC731&amp;BC764,BC751&amp;BC730&amp;BC753&amp;BC739&amp;": "&amp;BC730&amp;BC755&amp;BC763&amp;"-"&amp;BC731&amp;BC764&amp;" , "&amp;BC742&amp;BC756&amp;BC765&amp;"-"&amp;BC758&amp;BC766&amp;" , "&amp;BC754&amp;"mm "&amp;BC740&amp;" Core")</f>
        <v>TAUQ: U-GA(G60)-SP(zz)-0.5-Ral xx , Q-Alum-SP(cc)--0-Ral vv , 0mm PUR Core</v>
      </c>
      <c r="BD767" t="str">
        <f>IF(BD751="SS","SS: "&amp;BD730&amp;BD755&amp;BD763&amp;"-"&amp;BD731&amp;BD764,BD751&amp;BD730&amp;BD753&amp;BD739&amp;": "&amp;BD730&amp;BD755&amp;BD763&amp;"-"&amp;BD731&amp;BD764&amp;" , "&amp;BD742&amp;BD756&amp;BD765&amp;"-"&amp;BD758&amp;BD766&amp;" , "&amp;BD754&amp;"mm "&amp;BD740&amp;" Core")</f>
        <v>TASQ60: S-Alum-SP(ss)-0.7-Ral dd , Q-ZAS(AZ150)-SP(ff)--0-Ral gg , 60mm PUR Core</v>
      </c>
      <c r="BE767" t="str">
        <f>IF(BE751="SS","SS: "&amp;BE730&amp;BE755&amp;BE763&amp;"-"&amp;BE731&amp;BE764,BE751&amp;BE730&amp;BE753&amp;BE739&amp;": "&amp;BE730&amp;BE755&amp;BE763&amp;"-"&amp;BE731&amp;BE764&amp;" , "&amp;BE742&amp;BE756&amp;BE765&amp;"-"&amp;BE758&amp;BE766&amp;" , "&amp;BE754&amp;"mm "&amp;BE740&amp;" Core")</f>
        <v>FCSQ50: S-ZAS(AZ120)-ZSP-0.4-Ral bb , Q-ZAS(AZ150)-ZSP-0.5-Ral dd , 50mm RW Core</v>
      </c>
    </row>
    <row r="768" spans="41:58" x14ac:dyDescent="0.35">
      <c r="AO768" t="str">
        <f t="shared" si="19"/>
        <v/>
      </c>
      <c r="BA768">
        <f t="shared" si="18"/>
        <v>0</v>
      </c>
    </row>
    <row r="769" spans="39:53" x14ac:dyDescent="0.35">
      <c r="AO769" t="str">
        <f t="shared" si="19"/>
        <v/>
      </c>
      <c r="BA769">
        <f t="shared" si="18"/>
        <v>0</v>
      </c>
    </row>
    <row r="770" spans="39:53" x14ac:dyDescent="0.35">
      <c r="AO770" t="str">
        <f t="shared" si="19"/>
        <v/>
      </c>
      <c r="BA770">
        <f t="shared" si="18"/>
        <v>0</v>
      </c>
    </row>
    <row r="771" spans="39:53" x14ac:dyDescent="0.35">
      <c r="AO771" t="str">
        <f t="shared" si="19"/>
        <v/>
      </c>
      <c r="BA771">
        <f t="shared" si="18"/>
        <v>0</v>
      </c>
    </row>
    <row r="772" spans="39:53" x14ac:dyDescent="0.35">
      <c r="AO772" t="str">
        <f t="shared" si="19"/>
        <v/>
      </c>
      <c r="BA772">
        <f t="shared" si="18"/>
        <v>0</v>
      </c>
    </row>
    <row r="773" spans="39:53" x14ac:dyDescent="0.35">
      <c r="AM773" t="s">
        <v>147</v>
      </c>
      <c r="AO773" t="str">
        <f t="shared" si="19"/>
        <v/>
      </c>
      <c r="BA773">
        <f t="shared" si="18"/>
        <v>0</v>
      </c>
    </row>
    <row r="774" spans="39:53" x14ac:dyDescent="0.35">
      <c r="AM774" t="s">
        <v>40</v>
      </c>
    </row>
    <row r="775" spans="39:53" x14ac:dyDescent="0.35">
      <c r="AM775" t="s">
        <v>155</v>
      </c>
      <c r="AO775" t="s">
        <v>125</v>
      </c>
    </row>
    <row r="782" spans="39:53" x14ac:dyDescent="0.35">
      <c r="AM782" t="b">
        <v>0</v>
      </c>
      <c r="AO782" t="s">
        <v>168</v>
      </c>
      <c r="BA782">
        <f>SUM(BA786:BA811)</f>
        <v>0</v>
      </c>
    </row>
    <row r="783" spans="39:53" x14ac:dyDescent="0.35">
      <c r="AO783" t="s">
        <v>174</v>
      </c>
      <c r="AR783" t="s">
        <v>147</v>
      </c>
      <c r="AX783" t="s">
        <v>275</v>
      </c>
      <c r="AZ783" t="str">
        <f>IF(COUNTA(AP786:AP811,AP813)=0,"XXX","")</f>
        <v>XXX</v>
      </c>
    </row>
    <row r="784" spans="39:53" ht="21" customHeight="1" x14ac:dyDescent="0.35">
      <c r="AO784" t="s">
        <v>161</v>
      </c>
      <c r="AP784" t="s">
        <v>99</v>
      </c>
      <c r="AQ784" t="s">
        <v>100</v>
      </c>
      <c r="AR784" t="s">
        <v>170</v>
      </c>
      <c r="AS784" t="s">
        <v>169</v>
      </c>
      <c r="AT784" t="s">
        <v>171</v>
      </c>
      <c r="AU784" t="s">
        <v>169</v>
      </c>
      <c r="AV784" t="s">
        <v>173</v>
      </c>
      <c r="AW784" t="s">
        <v>172</v>
      </c>
      <c r="AX784" t="s">
        <v>45</v>
      </c>
    </row>
    <row r="786" spans="39:56" x14ac:dyDescent="0.35">
      <c r="AM786" t="s">
        <v>255</v>
      </c>
      <c r="AO786" t="str">
        <f>IF(BA786&gt;0,1,"")</f>
        <v/>
      </c>
      <c r="BA786">
        <f t="shared" ref="BA786:BA811" si="20">IF(COUNTA(AP786:AY786)=0,0,1)</f>
        <v>0</v>
      </c>
    </row>
    <row r="787" spans="39:56" x14ac:dyDescent="0.35">
      <c r="AM787" t="s">
        <v>256</v>
      </c>
      <c r="AO787" t="str">
        <f t="shared" ref="AO787:AO811" si="21">IF(BA787&gt;0,1+AO786,"")</f>
        <v/>
      </c>
      <c r="BA787">
        <f t="shared" si="20"/>
        <v>0</v>
      </c>
    </row>
    <row r="788" spans="39:56" x14ac:dyDescent="0.35">
      <c r="AM788" t="s">
        <v>257</v>
      </c>
      <c r="AO788" t="str">
        <f t="shared" si="21"/>
        <v/>
      </c>
      <c r="BA788">
        <f t="shared" si="20"/>
        <v>0</v>
      </c>
    </row>
    <row r="789" spans="39:56" x14ac:dyDescent="0.35">
      <c r="AO789" t="str">
        <f t="shared" si="21"/>
        <v/>
      </c>
      <c r="BA789">
        <f t="shared" si="20"/>
        <v>0</v>
      </c>
      <c r="BB789" t="s">
        <v>154</v>
      </c>
    </row>
    <row r="790" spans="39:56" x14ac:dyDescent="0.35">
      <c r="AO790" t="str">
        <f t="shared" si="21"/>
        <v/>
      </c>
      <c r="BA790">
        <f t="shared" si="20"/>
        <v>0</v>
      </c>
    </row>
    <row r="791" spans="39:56" x14ac:dyDescent="0.35">
      <c r="AO791" t="str">
        <f t="shared" si="21"/>
        <v/>
      </c>
      <c r="BA791">
        <f t="shared" si="20"/>
        <v>0</v>
      </c>
      <c r="BD791" t="str">
        <f>BE767</f>
        <v>FCSQ50: S-ZAS(AZ120)-ZSP-0.4-Ral bb , Q-ZAS(AZ150)-ZSP-0.5-Ral dd , 50mm RW Core</v>
      </c>
    </row>
    <row r="792" spans="39:56" x14ac:dyDescent="0.35">
      <c r="AO792" t="str">
        <f t="shared" si="21"/>
        <v/>
      </c>
      <c r="BA792">
        <f t="shared" si="20"/>
        <v>0</v>
      </c>
    </row>
    <row r="793" spans="39:56" x14ac:dyDescent="0.35">
      <c r="AO793" t="str">
        <f t="shared" si="21"/>
        <v/>
      </c>
      <c r="BA793">
        <f t="shared" si="20"/>
        <v>0</v>
      </c>
    </row>
    <row r="794" spans="39:56" x14ac:dyDescent="0.35">
      <c r="AO794" t="str">
        <f t="shared" si="21"/>
        <v/>
      </c>
      <c r="BA794">
        <f t="shared" si="20"/>
        <v>0</v>
      </c>
    </row>
    <row r="795" spans="39:56" x14ac:dyDescent="0.35">
      <c r="AO795" t="str">
        <f t="shared" si="21"/>
        <v/>
      </c>
      <c r="BA795">
        <f t="shared" si="20"/>
        <v>0</v>
      </c>
    </row>
    <row r="796" spans="39:56" x14ac:dyDescent="0.35">
      <c r="AO796" t="str">
        <f t="shared" si="21"/>
        <v/>
      </c>
      <c r="BA796">
        <f t="shared" si="20"/>
        <v>0</v>
      </c>
    </row>
    <row r="797" spans="39:56" x14ac:dyDescent="0.35">
      <c r="AO797" t="str">
        <f t="shared" si="21"/>
        <v/>
      </c>
      <c r="BA797">
        <f t="shared" si="20"/>
        <v>0</v>
      </c>
    </row>
    <row r="798" spans="39:56" x14ac:dyDescent="0.35">
      <c r="AO798" t="str">
        <f t="shared" si="21"/>
        <v/>
      </c>
      <c r="BA798">
        <f t="shared" si="20"/>
        <v>0</v>
      </c>
    </row>
    <row r="799" spans="39:56" x14ac:dyDescent="0.35">
      <c r="AO799" t="str">
        <f t="shared" si="21"/>
        <v/>
      </c>
      <c r="BA799">
        <f t="shared" si="20"/>
        <v>0</v>
      </c>
    </row>
    <row r="800" spans="39:56" x14ac:dyDescent="0.35">
      <c r="AO800" t="str">
        <f t="shared" si="21"/>
        <v/>
      </c>
      <c r="BA800">
        <f t="shared" si="20"/>
        <v>0</v>
      </c>
    </row>
    <row r="801" spans="39:53" x14ac:dyDescent="0.35">
      <c r="AO801" t="str">
        <f t="shared" si="21"/>
        <v/>
      </c>
      <c r="BA801">
        <f t="shared" si="20"/>
        <v>0</v>
      </c>
    </row>
    <row r="802" spans="39:53" x14ac:dyDescent="0.35">
      <c r="AO802" t="str">
        <f t="shared" si="21"/>
        <v/>
      </c>
      <c r="BA802">
        <f t="shared" si="20"/>
        <v>0</v>
      </c>
    </row>
    <row r="803" spans="39:53" x14ac:dyDescent="0.35">
      <c r="AO803" t="str">
        <f t="shared" si="21"/>
        <v/>
      </c>
      <c r="BA803">
        <f t="shared" si="20"/>
        <v>0</v>
      </c>
    </row>
    <row r="804" spans="39:53" x14ac:dyDescent="0.35">
      <c r="AO804" t="str">
        <f t="shared" si="21"/>
        <v/>
      </c>
      <c r="BA804">
        <f t="shared" si="20"/>
        <v>0</v>
      </c>
    </row>
    <row r="805" spans="39:53" x14ac:dyDescent="0.35">
      <c r="AO805" t="str">
        <f t="shared" si="21"/>
        <v/>
      </c>
      <c r="BA805">
        <f t="shared" si="20"/>
        <v>0</v>
      </c>
    </row>
    <row r="806" spans="39:53" x14ac:dyDescent="0.35">
      <c r="AO806" t="str">
        <f t="shared" si="21"/>
        <v/>
      </c>
      <c r="BA806">
        <f t="shared" si="20"/>
        <v>0</v>
      </c>
    </row>
    <row r="807" spans="39:53" x14ac:dyDescent="0.35">
      <c r="AO807" t="str">
        <f t="shared" si="21"/>
        <v/>
      </c>
      <c r="BA807">
        <f t="shared" si="20"/>
        <v>0</v>
      </c>
    </row>
    <row r="808" spans="39:53" x14ac:dyDescent="0.35">
      <c r="AO808" t="str">
        <f t="shared" si="21"/>
        <v/>
      </c>
      <c r="BA808">
        <f t="shared" si="20"/>
        <v>0</v>
      </c>
    </row>
    <row r="809" spans="39:53" x14ac:dyDescent="0.35">
      <c r="AO809" t="str">
        <f t="shared" si="21"/>
        <v/>
      </c>
      <c r="BA809">
        <f t="shared" si="20"/>
        <v>0</v>
      </c>
    </row>
    <row r="810" spans="39:53" x14ac:dyDescent="0.35">
      <c r="AO810" t="str">
        <f t="shared" si="21"/>
        <v/>
      </c>
      <c r="BA810">
        <f t="shared" si="20"/>
        <v>0</v>
      </c>
    </row>
    <row r="811" spans="39:53" x14ac:dyDescent="0.35">
      <c r="AO811" t="str">
        <f t="shared" si="21"/>
        <v/>
      </c>
      <c r="BA811">
        <f t="shared" si="20"/>
        <v>0</v>
      </c>
    </row>
    <row r="812" spans="39:53" x14ac:dyDescent="0.35">
      <c r="AM812" t="s">
        <v>258</v>
      </c>
    </row>
    <row r="813" spans="39:53" x14ac:dyDescent="0.35">
      <c r="AM813" t="s">
        <v>259</v>
      </c>
      <c r="AO813" t="s">
        <v>125</v>
      </c>
    </row>
    <row r="814" spans="39:53" x14ac:dyDescent="0.35">
      <c r="AM814" t="s">
        <v>260</v>
      </c>
    </row>
    <row r="815" spans="39:53" x14ac:dyDescent="0.35">
      <c r="AM815" t="s">
        <v>261</v>
      </c>
    </row>
    <row r="816" spans="39:53" x14ac:dyDescent="0.35">
      <c r="AM816" t="s">
        <v>262</v>
      </c>
    </row>
    <row r="820" spans="39:53" x14ac:dyDescent="0.35">
      <c r="AM820" t="b">
        <v>0</v>
      </c>
      <c r="AO820" t="s">
        <v>263</v>
      </c>
      <c r="BA820">
        <f>SUM(BA824:BA863)</f>
        <v>0</v>
      </c>
    </row>
    <row r="821" spans="39:53" x14ac:dyDescent="0.35">
      <c r="AO821" t="s">
        <v>175</v>
      </c>
      <c r="AR821" t="s">
        <v>147</v>
      </c>
      <c r="AX821" t="s">
        <v>275</v>
      </c>
      <c r="AZ821" t="str">
        <f>IF(COUNTA(AP824:AP863,AP865)=0,"XXX","")</f>
        <v>XXX</v>
      </c>
    </row>
    <row r="822" spans="39:53" ht="21" customHeight="1" x14ac:dyDescent="0.35">
      <c r="AO822" t="s">
        <v>161</v>
      </c>
      <c r="AP822" t="s">
        <v>99</v>
      </c>
      <c r="AQ822" t="s">
        <v>176</v>
      </c>
      <c r="AR822" t="s">
        <v>170</v>
      </c>
      <c r="AS822" t="s">
        <v>169</v>
      </c>
      <c r="AT822" t="s">
        <v>177</v>
      </c>
      <c r="AU822" t="s">
        <v>169</v>
      </c>
      <c r="AV822" t="s">
        <v>173</v>
      </c>
      <c r="AW822" t="s">
        <v>172</v>
      </c>
      <c r="AX822" t="s">
        <v>45</v>
      </c>
    </row>
    <row r="824" spans="39:53" x14ac:dyDescent="0.35">
      <c r="AO824" t="str">
        <f>IF(BA824&gt;0,1,"")</f>
        <v/>
      </c>
      <c r="BA824">
        <f t="shared" ref="BA824:BA863" si="22">IF(COUNTA(AP824:AY824)=0,0,1)</f>
        <v>0</v>
      </c>
    </row>
    <row r="825" spans="39:53" x14ac:dyDescent="0.35">
      <c r="AO825" t="str">
        <f t="shared" ref="AO825:AO863" si="23">IF(BA825&gt;0,1+AO824,"")</f>
        <v/>
      </c>
      <c r="BA825">
        <f t="shared" si="22"/>
        <v>0</v>
      </c>
    </row>
    <row r="826" spans="39:53" x14ac:dyDescent="0.35">
      <c r="AO826" t="str">
        <f t="shared" si="23"/>
        <v/>
      </c>
      <c r="BA826">
        <f t="shared" si="22"/>
        <v>0</v>
      </c>
    </row>
    <row r="827" spans="39:53" x14ac:dyDescent="0.35">
      <c r="AO827" t="str">
        <f t="shared" si="23"/>
        <v/>
      </c>
      <c r="BA827">
        <f t="shared" si="22"/>
        <v>0</v>
      </c>
    </row>
    <row r="828" spans="39:53" x14ac:dyDescent="0.35">
      <c r="AO828" t="str">
        <f t="shared" si="23"/>
        <v/>
      </c>
      <c r="BA828">
        <f t="shared" si="22"/>
        <v>0</v>
      </c>
    </row>
    <row r="829" spans="39:53" x14ac:dyDescent="0.35">
      <c r="AO829" t="str">
        <f t="shared" si="23"/>
        <v/>
      </c>
      <c r="BA829">
        <f t="shared" si="22"/>
        <v>0</v>
      </c>
    </row>
    <row r="830" spans="39:53" x14ac:dyDescent="0.35">
      <c r="AO830" t="str">
        <f t="shared" si="23"/>
        <v/>
      </c>
      <c r="BA830">
        <f t="shared" si="22"/>
        <v>0</v>
      </c>
    </row>
    <row r="831" spans="39:53" x14ac:dyDescent="0.35">
      <c r="AO831" t="str">
        <f t="shared" si="23"/>
        <v/>
      </c>
      <c r="BA831">
        <f t="shared" si="22"/>
        <v>0</v>
      </c>
    </row>
    <row r="832" spans="39:53" x14ac:dyDescent="0.35">
      <c r="AO832" t="str">
        <f t="shared" si="23"/>
        <v/>
      </c>
      <c r="BA832">
        <f t="shared" si="22"/>
        <v>0</v>
      </c>
    </row>
    <row r="833" spans="41:53" x14ac:dyDescent="0.35">
      <c r="AO833" t="str">
        <f t="shared" si="23"/>
        <v/>
      </c>
      <c r="BA833">
        <f t="shared" si="22"/>
        <v>0</v>
      </c>
    </row>
    <row r="834" spans="41:53" x14ac:dyDescent="0.35">
      <c r="AO834" t="str">
        <f t="shared" si="23"/>
        <v/>
      </c>
      <c r="BA834">
        <f t="shared" si="22"/>
        <v>0</v>
      </c>
    </row>
    <row r="835" spans="41:53" x14ac:dyDescent="0.35">
      <c r="AO835" t="str">
        <f t="shared" si="23"/>
        <v/>
      </c>
      <c r="BA835">
        <f t="shared" si="22"/>
        <v>0</v>
      </c>
    </row>
    <row r="836" spans="41:53" x14ac:dyDescent="0.35">
      <c r="AO836" t="str">
        <f t="shared" si="23"/>
        <v/>
      </c>
      <c r="BA836">
        <f t="shared" si="22"/>
        <v>0</v>
      </c>
    </row>
    <row r="837" spans="41:53" x14ac:dyDescent="0.35">
      <c r="AO837" t="str">
        <f t="shared" si="23"/>
        <v/>
      </c>
      <c r="BA837">
        <f t="shared" si="22"/>
        <v>0</v>
      </c>
    </row>
    <row r="838" spans="41:53" x14ac:dyDescent="0.35">
      <c r="AO838" t="str">
        <f t="shared" si="23"/>
        <v/>
      </c>
      <c r="BA838">
        <f t="shared" si="22"/>
        <v>0</v>
      </c>
    </row>
    <row r="839" spans="41:53" x14ac:dyDescent="0.35">
      <c r="AO839" t="str">
        <f t="shared" si="23"/>
        <v/>
      </c>
      <c r="BA839">
        <f t="shared" si="22"/>
        <v>0</v>
      </c>
    </row>
    <row r="840" spans="41:53" x14ac:dyDescent="0.35">
      <c r="AO840" t="str">
        <f t="shared" si="23"/>
        <v/>
      </c>
      <c r="BA840">
        <f t="shared" si="22"/>
        <v>0</v>
      </c>
    </row>
    <row r="841" spans="41:53" x14ac:dyDescent="0.35">
      <c r="AO841" t="str">
        <f t="shared" si="23"/>
        <v/>
      </c>
      <c r="BA841">
        <f t="shared" si="22"/>
        <v>0</v>
      </c>
    </row>
    <row r="842" spans="41:53" x14ac:dyDescent="0.35">
      <c r="AO842" t="str">
        <f t="shared" si="23"/>
        <v/>
      </c>
      <c r="BA842">
        <f t="shared" si="22"/>
        <v>0</v>
      </c>
    </row>
    <row r="843" spans="41:53" x14ac:dyDescent="0.35">
      <c r="AO843" t="str">
        <f t="shared" si="23"/>
        <v/>
      </c>
      <c r="BA843">
        <f t="shared" si="22"/>
        <v>0</v>
      </c>
    </row>
    <row r="844" spans="41:53" x14ac:dyDescent="0.35">
      <c r="AO844" t="str">
        <f t="shared" si="23"/>
        <v/>
      </c>
      <c r="BA844">
        <f t="shared" si="22"/>
        <v>0</v>
      </c>
    </row>
    <row r="845" spans="41:53" x14ac:dyDescent="0.35">
      <c r="AO845" t="str">
        <f t="shared" si="23"/>
        <v/>
      </c>
      <c r="BA845">
        <f t="shared" si="22"/>
        <v>0</v>
      </c>
    </row>
    <row r="846" spans="41:53" x14ac:dyDescent="0.35">
      <c r="AO846" t="str">
        <f t="shared" si="23"/>
        <v/>
      </c>
      <c r="BA846">
        <f t="shared" si="22"/>
        <v>0</v>
      </c>
    </row>
    <row r="847" spans="41:53" x14ac:dyDescent="0.35">
      <c r="AO847" t="str">
        <f t="shared" si="23"/>
        <v/>
      </c>
      <c r="BA847">
        <f t="shared" si="22"/>
        <v>0</v>
      </c>
    </row>
    <row r="848" spans="41:53" x14ac:dyDescent="0.35">
      <c r="AO848" t="str">
        <f t="shared" si="23"/>
        <v/>
      </c>
      <c r="BA848">
        <f t="shared" si="22"/>
        <v>0</v>
      </c>
    </row>
    <row r="849" spans="41:53" x14ac:dyDescent="0.35">
      <c r="AO849" t="str">
        <f t="shared" si="23"/>
        <v/>
      </c>
      <c r="BA849">
        <f t="shared" si="22"/>
        <v>0</v>
      </c>
    </row>
    <row r="850" spans="41:53" x14ac:dyDescent="0.35">
      <c r="AO850" t="str">
        <f t="shared" si="23"/>
        <v/>
      </c>
      <c r="BA850">
        <f t="shared" si="22"/>
        <v>0</v>
      </c>
    </row>
    <row r="851" spans="41:53" x14ac:dyDescent="0.35">
      <c r="AO851" t="str">
        <f t="shared" si="23"/>
        <v/>
      </c>
      <c r="BA851">
        <f t="shared" si="22"/>
        <v>0</v>
      </c>
    </row>
    <row r="852" spans="41:53" x14ac:dyDescent="0.35">
      <c r="AO852" t="str">
        <f t="shared" si="23"/>
        <v/>
      </c>
      <c r="BA852">
        <f t="shared" si="22"/>
        <v>0</v>
      </c>
    </row>
    <row r="853" spans="41:53" x14ac:dyDescent="0.35">
      <c r="AO853" t="str">
        <f t="shared" si="23"/>
        <v/>
      </c>
      <c r="BA853">
        <f t="shared" si="22"/>
        <v>0</v>
      </c>
    </row>
    <row r="854" spans="41:53" x14ac:dyDescent="0.35">
      <c r="AO854" t="str">
        <f t="shared" si="23"/>
        <v/>
      </c>
      <c r="BA854">
        <f t="shared" si="22"/>
        <v>0</v>
      </c>
    </row>
    <row r="855" spans="41:53" x14ac:dyDescent="0.35">
      <c r="AO855" t="str">
        <f t="shared" si="23"/>
        <v/>
      </c>
      <c r="BA855">
        <f t="shared" si="22"/>
        <v>0</v>
      </c>
    </row>
    <row r="856" spans="41:53" x14ac:dyDescent="0.35">
      <c r="AO856" t="str">
        <f t="shared" si="23"/>
        <v/>
      </c>
      <c r="BA856">
        <f t="shared" si="22"/>
        <v>0</v>
      </c>
    </row>
    <row r="857" spans="41:53" x14ac:dyDescent="0.35">
      <c r="AO857" t="str">
        <f t="shared" si="23"/>
        <v/>
      </c>
      <c r="BA857">
        <f t="shared" si="22"/>
        <v>0</v>
      </c>
    </row>
    <row r="858" spans="41:53" x14ac:dyDescent="0.35">
      <c r="AO858" t="str">
        <f t="shared" si="23"/>
        <v/>
      </c>
      <c r="BA858">
        <f t="shared" si="22"/>
        <v>0</v>
      </c>
    </row>
    <row r="859" spans="41:53" x14ac:dyDescent="0.35">
      <c r="AO859" t="str">
        <f t="shared" si="23"/>
        <v/>
      </c>
      <c r="BA859">
        <f t="shared" si="22"/>
        <v>0</v>
      </c>
    </row>
    <row r="860" spans="41:53" x14ac:dyDescent="0.35">
      <c r="AO860" t="str">
        <f t="shared" si="23"/>
        <v/>
      </c>
      <c r="BA860">
        <f t="shared" si="22"/>
        <v>0</v>
      </c>
    </row>
    <row r="861" spans="41:53" x14ac:dyDescent="0.35">
      <c r="AO861" t="str">
        <f t="shared" si="23"/>
        <v/>
      </c>
      <c r="BA861">
        <f t="shared" si="22"/>
        <v>0</v>
      </c>
    </row>
    <row r="862" spans="41:53" x14ac:dyDescent="0.35">
      <c r="AO862" t="str">
        <f t="shared" si="23"/>
        <v/>
      </c>
      <c r="BA862">
        <f t="shared" si="22"/>
        <v>0</v>
      </c>
    </row>
    <row r="863" spans="41:53" x14ac:dyDescent="0.35">
      <c r="AO863" t="str">
        <f t="shared" si="23"/>
        <v/>
      </c>
      <c r="BA863">
        <f t="shared" si="22"/>
        <v>0</v>
      </c>
    </row>
    <row r="865" spans="39:55" x14ac:dyDescent="0.35">
      <c r="AO865" t="s">
        <v>125</v>
      </c>
    </row>
    <row r="872" spans="39:55" x14ac:dyDescent="0.35">
      <c r="AM872" t="b">
        <v>0</v>
      </c>
      <c r="AO872" t="s">
        <v>264</v>
      </c>
      <c r="BA872">
        <f>SUM(BA876:BA915)</f>
        <v>0</v>
      </c>
    </row>
    <row r="873" spans="39:55" x14ac:dyDescent="0.35">
      <c r="AO873" t="s">
        <v>276</v>
      </c>
      <c r="AR873" t="s">
        <v>147</v>
      </c>
      <c r="AX873" t="s">
        <v>275</v>
      </c>
      <c r="AZ873" t="str">
        <f>IF(COUNTA(AP876:AP915,AP917)=0,"XXX","")</f>
        <v>XXX</v>
      </c>
    </row>
    <row r="874" spans="39:55" ht="21" customHeight="1" x14ac:dyDescent="0.35">
      <c r="AM874" t="s">
        <v>265</v>
      </c>
      <c r="AO874" t="s">
        <v>161</v>
      </c>
      <c r="AP874" t="s">
        <v>117</v>
      </c>
      <c r="AQ874" t="s">
        <v>164</v>
      </c>
      <c r="AR874" t="s">
        <v>269</v>
      </c>
      <c r="AS874" t="s">
        <v>270</v>
      </c>
      <c r="AT874" t="s">
        <v>271</v>
      </c>
      <c r="AU874" t="s">
        <v>272</v>
      </c>
      <c r="AV874" t="s">
        <v>273</v>
      </c>
      <c r="AW874" t="s">
        <v>100</v>
      </c>
      <c r="AX874" t="s">
        <v>274</v>
      </c>
    </row>
    <row r="875" spans="39:55" x14ac:dyDescent="0.35">
      <c r="AM875" t="s">
        <v>266</v>
      </c>
    </row>
    <row r="876" spans="39:55" x14ac:dyDescent="0.35">
      <c r="AO876" t="str">
        <f>IF(BA876&gt;0,1,"")</f>
        <v/>
      </c>
      <c r="BA876">
        <f t="shared" ref="BA876:BA915" si="24">IF(COUNTA(AP876:AY876)=0,0,1)</f>
        <v>0</v>
      </c>
    </row>
    <row r="877" spans="39:55" x14ac:dyDescent="0.35">
      <c r="AM877" t="s">
        <v>267</v>
      </c>
      <c r="AO877" t="str">
        <f t="shared" ref="AO877:AO915" si="25">IF(BA877&gt;0,1+AO876,"")</f>
        <v/>
      </c>
      <c r="BA877">
        <f t="shared" si="24"/>
        <v>0</v>
      </c>
      <c r="BB877" t="s">
        <v>268</v>
      </c>
      <c r="BC877" t="s">
        <v>165</v>
      </c>
    </row>
    <row r="878" spans="39:55" x14ac:dyDescent="0.35">
      <c r="AM878" t="s">
        <v>268</v>
      </c>
      <c r="AO878" t="str">
        <f t="shared" si="25"/>
        <v/>
      </c>
      <c r="BA878">
        <f t="shared" si="24"/>
        <v>0</v>
      </c>
      <c r="BB878" t="s">
        <v>167</v>
      </c>
      <c r="BC878" t="s">
        <v>120</v>
      </c>
    </row>
    <row r="879" spans="39:55" x14ac:dyDescent="0.35">
      <c r="AM879" t="s">
        <v>166</v>
      </c>
      <c r="AO879" t="str">
        <f t="shared" si="25"/>
        <v/>
      </c>
      <c r="BA879">
        <f t="shared" si="24"/>
        <v>0</v>
      </c>
      <c r="BB879" t="s">
        <v>119</v>
      </c>
      <c r="BC879" t="s">
        <v>167</v>
      </c>
    </row>
    <row r="880" spans="39:55" x14ac:dyDescent="0.35">
      <c r="AM880" t="s">
        <v>167</v>
      </c>
      <c r="AO880" t="str">
        <f t="shared" si="25"/>
        <v/>
      </c>
      <c r="BA880">
        <f t="shared" si="24"/>
        <v>0</v>
      </c>
      <c r="BB880" t="s">
        <v>166</v>
      </c>
      <c r="BC880" t="s">
        <v>119</v>
      </c>
    </row>
    <row r="881" spans="39:55" x14ac:dyDescent="0.35">
      <c r="AM881" t="s">
        <v>119</v>
      </c>
      <c r="AO881" t="str">
        <f t="shared" si="25"/>
        <v/>
      </c>
      <c r="BA881">
        <f t="shared" si="24"/>
        <v>0</v>
      </c>
      <c r="BB881" t="s">
        <v>120</v>
      </c>
      <c r="BC881" t="s">
        <v>166</v>
      </c>
    </row>
    <row r="882" spans="39:55" x14ac:dyDescent="0.35">
      <c r="AM882" t="s">
        <v>120</v>
      </c>
      <c r="AO882" t="str">
        <f t="shared" si="25"/>
        <v/>
      </c>
      <c r="BA882">
        <f t="shared" si="24"/>
        <v>0</v>
      </c>
      <c r="BB882" t="s">
        <v>267</v>
      </c>
      <c r="BC882" t="s">
        <v>119</v>
      </c>
    </row>
    <row r="883" spans="39:55" x14ac:dyDescent="0.35">
      <c r="AO883" t="str">
        <f t="shared" si="25"/>
        <v/>
      </c>
      <c r="BA883">
        <f t="shared" si="24"/>
        <v>0</v>
      </c>
    </row>
    <row r="884" spans="39:55" x14ac:dyDescent="0.35">
      <c r="AO884" t="str">
        <f t="shared" si="25"/>
        <v/>
      </c>
      <c r="BA884">
        <f t="shared" si="24"/>
        <v>0</v>
      </c>
    </row>
    <row r="885" spans="39:55" x14ac:dyDescent="0.35">
      <c r="AO885" t="str">
        <f t="shared" si="25"/>
        <v/>
      </c>
      <c r="BA885">
        <f t="shared" si="24"/>
        <v>0</v>
      </c>
    </row>
    <row r="886" spans="39:55" x14ac:dyDescent="0.35">
      <c r="AO886" t="str">
        <f t="shared" si="25"/>
        <v/>
      </c>
      <c r="BA886">
        <f t="shared" si="24"/>
        <v>0</v>
      </c>
    </row>
    <row r="887" spans="39:55" x14ac:dyDescent="0.35">
      <c r="AO887" t="str">
        <f t="shared" si="25"/>
        <v/>
      </c>
      <c r="BA887">
        <f t="shared" si="24"/>
        <v>0</v>
      </c>
    </row>
    <row r="888" spans="39:55" x14ac:dyDescent="0.35">
      <c r="AO888" t="str">
        <f t="shared" si="25"/>
        <v/>
      </c>
      <c r="BA888">
        <f t="shared" si="24"/>
        <v>0</v>
      </c>
    </row>
    <row r="889" spans="39:55" x14ac:dyDescent="0.35">
      <c r="AO889" t="str">
        <f t="shared" si="25"/>
        <v/>
      </c>
      <c r="BA889">
        <f t="shared" si="24"/>
        <v>0</v>
      </c>
    </row>
    <row r="890" spans="39:55" x14ac:dyDescent="0.35">
      <c r="AO890" t="str">
        <f t="shared" si="25"/>
        <v/>
      </c>
      <c r="BA890">
        <f t="shared" si="24"/>
        <v>0</v>
      </c>
    </row>
    <row r="891" spans="39:55" x14ac:dyDescent="0.35">
      <c r="AO891" t="str">
        <f t="shared" si="25"/>
        <v/>
      </c>
      <c r="BA891">
        <f t="shared" si="24"/>
        <v>0</v>
      </c>
    </row>
    <row r="892" spans="39:55" x14ac:dyDescent="0.35">
      <c r="AO892" t="str">
        <f t="shared" si="25"/>
        <v/>
      </c>
      <c r="BA892">
        <f t="shared" si="24"/>
        <v>0</v>
      </c>
    </row>
    <row r="893" spans="39:55" x14ac:dyDescent="0.35">
      <c r="AO893" t="str">
        <f t="shared" si="25"/>
        <v/>
      </c>
      <c r="BA893">
        <f t="shared" si="24"/>
        <v>0</v>
      </c>
    </row>
    <row r="894" spans="39:55" x14ac:dyDescent="0.35">
      <c r="AO894" t="str">
        <f t="shared" si="25"/>
        <v/>
      </c>
      <c r="BA894">
        <f t="shared" si="24"/>
        <v>0</v>
      </c>
    </row>
    <row r="895" spans="39:55" x14ac:dyDescent="0.35">
      <c r="AO895" t="str">
        <f t="shared" si="25"/>
        <v/>
      </c>
      <c r="BA895">
        <f t="shared" si="24"/>
        <v>0</v>
      </c>
    </row>
    <row r="896" spans="39:55" x14ac:dyDescent="0.35">
      <c r="AO896" t="str">
        <f t="shared" si="25"/>
        <v/>
      </c>
      <c r="BA896">
        <f t="shared" si="24"/>
        <v>0</v>
      </c>
    </row>
    <row r="897" spans="41:53" x14ac:dyDescent="0.35">
      <c r="AO897" t="str">
        <f t="shared" si="25"/>
        <v/>
      </c>
      <c r="BA897">
        <f t="shared" si="24"/>
        <v>0</v>
      </c>
    </row>
    <row r="898" spans="41:53" x14ac:dyDescent="0.35">
      <c r="AO898" t="str">
        <f t="shared" si="25"/>
        <v/>
      </c>
      <c r="BA898">
        <f t="shared" si="24"/>
        <v>0</v>
      </c>
    </row>
    <row r="899" spans="41:53" x14ac:dyDescent="0.35">
      <c r="AO899" t="str">
        <f t="shared" si="25"/>
        <v/>
      </c>
      <c r="BA899">
        <f t="shared" si="24"/>
        <v>0</v>
      </c>
    </row>
    <row r="900" spans="41:53" x14ac:dyDescent="0.35">
      <c r="AO900" t="str">
        <f t="shared" si="25"/>
        <v/>
      </c>
      <c r="BA900">
        <f t="shared" si="24"/>
        <v>0</v>
      </c>
    </row>
    <row r="901" spans="41:53" x14ac:dyDescent="0.35">
      <c r="AO901" t="str">
        <f t="shared" si="25"/>
        <v/>
      </c>
      <c r="BA901">
        <f t="shared" si="24"/>
        <v>0</v>
      </c>
    </row>
    <row r="902" spans="41:53" x14ac:dyDescent="0.35">
      <c r="AO902" t="str">
        <f t="shared" si="25"/>
        <v/>
      </c>
      <c r="BA902">
        <f t="shared" si="24"/>
        <v>0</v>
      </c>
    </row>
    <row r="903" spans="41:53" x14ac:dyDescent="0.35">
      <c r="AO903" t="str">
        <f t="shared" si="25"/>
        <v/>
      </c>
      <c r="BA903">
        <f t="shared" si="24"/>
        <v>0</v>
      </c>
    </row>
    <row r="904" spans="41:53" x14ac:dyDescent="0.35">
      <c r="AO904" t="str">
        <f t="shared" si="25"/>
        <v/>
      </c>
      <c r="BA904">
        <f t="shared" si="24"/>
        <v>0</v>
      </c>
    </row>
    <row r="905" spans="41:53" x14ac:dyDescent="0.35">
      <c r="AO905" t="str">
        <f t="shared" si="25"/>
        <v/>
      </c>
      <c r="BA905">
        <f t="shared" si="24"/>
        <v>0</v>
      </c>
    </row>
    <row r="906" spans="41:53" x14ac:dyDescent="0.35">
      <c r="AO906" t="str">
        <f t="shared" si="25"/>
        <v/>
      </c>
      <c r="BA906">
        <f t="shared" si="24"/>
        <v>0</v>
      </c>
    </row>
    <row r="907" spans="41:53" x14ac:dyDescent="0.35">
      <c r="AO907" t="str">
        <f t="shared" si="25"/>
        <v/>
      </c>
      <c r="BA907">
        <f t="shared" si="24"/>
        <v>0</v>
      </c>
    </row>
    <row r="908" spans="41:53" x14ac:dyDescent="0.35">
      <c r="AO908" t="str">
        <f t="shared" si="25"/>
        <v/>
      </c>
      <c r="BA908">
        <f t="shared" si="24"/>
        <v>0</v>
      </c>
    </row>
    <row r="909" spans="41:53" x14ac:dyDescent="0.35">
      <c r="AO909" t="str">
        <f t="shared" si="25"/>
        <v/>
      </c>
      <c r="BA909">
        <f t="shared" si="24"/>
        <v>0</v>
      </c>
    </row>
    <row r="910" spans="41:53" x14ac:dyDescent="0.35">
      <c r="AO910" t="str">
        <f t="shared" si="25"/>
        <v/>
      </c>
      <c r="BA910">
        <f t="shared" si="24"/>
        <v>0</v>
      </c>
    </row>
    <row r="911" spans="41:53" x14ac:dyDescent="0.35">
      <c r="AO911" t="str">
        <f t="shared" si="25"/>
        <v/>
      </c>
      <c r="BA911">
        <f t="shared" si="24"/>
        <v>0</v>
      </c>
    </row>
    <row r="912" spans="41:53" x14ac:dyDescent="0.35">
      <c r="AO912" t="str">
        <f t="shared" si="25"/>
        <v/>
      </c>
      <c r="BA912">
        <f t="shared" si="24"/>
        <v>0</v>
      </c>
    </row>
    <row r="913" spans="39:53" x14ac:dyDescent="0.35">
      <c r="AO913" t="str">
        <f t="shared" si="25"/>
        <v/>
      </c>
      <c r="BA913">
        <f t="shared" si="24"/>
        <v>0</v>
      </c>
    </row>
    <row r="914" spans="39:53" x14ac:dyDescent="0.35">
      <c r="AO914" t="str">
        <f t="shared" si="25"/>
        <v/>
      </c>
      <c r="BA914">
        <f t="shared" si="24"/>
        <v>0</v>
      </c>
    </row>
    <row r="915" spans="39:53" x14ac:dyDescent="0.35">
      <c r="AO915" t="str">
        <f t="shared" si="25"/>
        <v/>
      </c>
      <c r="BA915">
        <f t="shared" si="24"/>
        <v>0</v>
      </c>
    </row>
    <row r="917" spans="39:53" x14ac:dyDescent="0.35">
      <c r="AO917" t="s">
        <v>125</v>
      </c>
    </row>
    <row r="924" spans="39:53" x14ac:dyDescent="0.35">
      <c r="AM924" t="b">
        <v>0</v>
      </c>
      <c r="AO924" t="s">
        <v>287</v>
      </c>
      <c r="BA924">
        <f>SUM(BA928:BA953)</f>
        <v>0</v>
      </c>
    </row>
    <row r="925" spans="39:53" x14ac:dyDescent="0.35">
      <c r="AM925" t="s">
        <v>328</v>
      </c>
      <c r="AO925" t="s">
        <v>286</v>
      </c>
      <c r="AR925" t="s">
        <v>147</v>
      </c>
      <c r="AX925" t="s">
        <v>275</v>
      </c>
      <c r="AZ925" t="str">
        <f>IF(COUNTA(AP928:AP967,AP969)=0,"XXX","")</f>
        <v>XXX</v>
      </c>
    </row>
    <row r="926" spans="39:53" ht="21" customHeight="1" x14ac:dyDescent="0.35">
      <c r="AM926" t="s">
        <v>329</v>
      </c>
      <c r="AO926" t="s">
        <v>161</v>
      </c>
      <c r="AP926" t="s">
        <v>277</v>
      </c>
      <c r="AQ926" t="s">
        <v>269</v>
      </c>
      <c r="AR926" t="s">
        <v>99</v>
      </c>
      <c r="AS926" t="s">
        <v>278</v>
      </c>
      <c r="AT926" t="s">
        <v>271</v>
      </c>
      <c r="AU926" t="s">
        <v>279</v>
      </c>
      <c r="AW926" t="s">
        <v>281</v>
      </c>
      <c r="AX926" t="s">
        <v>45</v>
      </c>
    </row>
    <row r="927" spans="39:53" x14ac:dyDescent="0.35">
      <c r="AM927" t="s">
        <v>330</v>
      </c>
    </row>
    <row r="928" spans="39:53" x14ac:dyDescent="0.35">
      <c r="AM928" t="s">
        <v>331</v>
      </c>
      <c r="AO928" t="str">
        <f>IF(BA928&gt;0,1,"")</f>
        <v/>
      </c>
      <c r="BA928">
        <f t="shared" ref="BA928:BA967" si="26">IF(COUNTA(AP928:AY928)=0,0,1)</f>
        <v>0</v>
      </c>
    </row>
    <row r="929" spans="39:53" x14ac:dyDescent="0.35">
      <c r="AO929" t="str">
        <f t="shared" ref="AO929:AO967" si="27">IF(BA929&gt;0,1+AO928,"")</f>
        <v/>
      </c>
      <c r="BA929">
        <f t="shared" si="26"/>
        <v>0</v>
      </c>
    </row>
    <row r="930" spans="39:53" x14ac:dyDescent="0.35">
      <c r="AO930" t="str">
        <f t="shared" si="27"/>
        <v/>
      </c>
      <c r="BA930">
        <f t="shared" si="26"/>
        <v>0</v>
      </c>
    </row>
    <row r="931" spans="39:53" x14ac:dyDescent="0.35">
      <c r="AO931" t="str">
        <f t="shared" si="27"/>
        <v/>
      </c>
      <c r="BA931">
        <f t="shared" si="26"/>
        <v>0</v>
      </c>
    </row>
    <row r="932" spans="39:53" x14ac:dyDescent="0.35">
      <c r="AM932" t="s">
        <v>280</v>
      </c>
      <c r="AO932" t="str">
        <f t="shared" si="27"/>
        <v/>
      </c>
      <c r="BA932">
        <f t="shared" si="26"/>
        <v>0</v>
      </c>
    </row>
    <row r="933" spans="39:53" x14ac:dyDescent="0.35">
      <c r="AM933" t="s">
        <v>283</v>
      </c>
      <c r="AO933" t="str">
        <f t="shared" si="27"/>
        <v/>
      </c>
      <c r="BA933">
        <f t="shared" si="26"/>
        <v>0</v>
      </c>
    </row>
    <row r="934" spans="39:53" x14ac:dyDescent="0.35">
      <c r="AO934" t="str">
        <f t="shared" si="27"/>
        <v/>
      </c>
      <c r="BA934">
        <f t="shared" si="26"/>
        <v>0</v>
      </c>
    </row>
    <row r="935" spans="39:53" x14ac:dyDescent="0.35">
      <c r="AM935" t="s">
        <v>284</v>
      </c>
      <c r="AO935" t="str">
        <f t="shared" si="27"/>
        <v/>
      </c>
      <c r="BA935">
        <f t="shared" si="26"/>
        <v>0</v>
      </c>
    </row>
    <row r="936" spans="39:53" x14ac:dyDescent="0.35">
      <c r="AM936" t="s">
        <v>285</v>
      </c>
      <c r="AO936" t="str">
        <f t="shared" si="27"/>
        <v/>
      </c>
      <c r="BA936">
        <f t="shared" si="26"/>
        <v>0</v>
      </c>
    </row>
    <row r="937" spans="39:53" x14ac:dyDescent="0.35">
      <c r="AM937" t="s">
        <v>282</v>
      </c>
      <c r="AO937" t="str">
        <f t="shared" si="27"/>
        <v/>
      </c>
      <c r="BA937">
        <f t="shared" si="26"/>
        <v>0</v>
      </c>
    </row>
    <row r="938" spans="39:53" x14ac:dyDescent="0.35">
      <c r="AM938" t="s">
        <v>165</v>
      </c>
      <c r="AO938" t="str">
        <f t="shared" si="27"/>
        <v/>
      </c>
      <c r="BA938">
        <f t="shared" si="26"/>
        <v>0</v>
      </c>
    </row>
    <row r="939" spans="39:53" x14ac:dyDescent="0.35">
      <c r="AO939" t="str">
        <f t="shared" si="27"/>
        <v/>
      </c>
      <c r="BA939">
        <f t="shared" si="26"/>
        <v>0</v>
      </c>
    </row>
    <row r="940" spans="39:53" x14ac:dyDescent="0.35">
      <c r="AO940" t="str">
        <f t="shared" si="27"/>
        <v/>
      </c>
      <c r="BA940">
        <f t="shared" si="26"/>
        <v>0</v>
      </c>
    </row>
    <row r="941" spans="39:53" x14ac:dyDescent="0.35">
      <c r="AO941" t="str">
        <f t="shared" si="27"/>
        <v/>
      </c>
      <c r="BA941">
        <f t="shared" si="26"/>
        <v>0</v>
      </c>
    </row>
    <row r="942" spans="39:53" x14ac:dyDescent="0.35">
      <c r="AO942" t="str">
        <f t="shared" si="27"/>
        <v/>
      </c>
      <c r="BA942">
        <f t="shared" si="26"/>
        <v>0</v>
      </c>
    </row>
    <row r="943" spans="39:53" x14ac:dyDescent="0.35">
      <c r="AO943" t="str">
        <f t="shared" si="27"/>
        <v/>
      </c>
      <c r="BA943">
        <f t="shared" si="26"/>
        <v>0</v>
      </c>
    </row>
    <row r="944" spans="39:53" x14ac:dyDescent="0.35">
      <c r="AO944" t="str">
        <f t="shared" si="27"/>
        <v/>
      </c>
      <c r="BA944">
        <f t="shared" si="26"/>
        <v>0</v>
      </c>
    </row>
    <row r="945" spans="41:53" x14ac:dyDescent="0.35">
      <c r="AO945" t="str">
        <f t="shared" si="27"/>
        <v/>
      </c>
      <c r="BA945">
        <f t="shared" si="26"/>
        <v>0</v>
      </c>
    </row>
    <row r="946" spans="41:53" x14ac:dyDescent="0.35">
      <c r="AO946" t="str">
        <f t="shared" si="27"/>
        <v/>
      </c>
      <c r="BA946">
        <f t="shared" si="26"/>
        <v>0</v>
      </c>
    </row>
    <row r="947" spans="41:53" x14ac:dyDescent="0.35">
      <c r="AO947" t="str">
        <f t="shared" si="27"/>
        <v/>
      </c>
      <c r="BA947">
        <f t="shared" si="26"/>
        <v>0</v>
      </c>
    </row>
    <row r="948" spans="41:53" x14ac:dyDescent="0.35">
      <c r="AO948" t="str">
        <f t="shared" si="27"/>
        <v/>
      </c>
      <c r="BA948">
        <f t="shared" si="26"/>
        <v>0</v>
      </c>
    </row>
    <row r="949" spans="41:53" x14ac:dyDescent="0.35">
      <c r="AO949" t="str">
        <f t="shared" si="27"/>
        <v/>
      </c>
      <c r="BA949">
        <f t="shared" si="26"/>
        <v>0</v>
      </c>
    </row>
    <row r="950" spans="41:53" x14ac:dyDescent="0.35">
      <c r="AO950" t="str">
        <f t="shared" si="27"/>
        <v/>
      </c>
      <c r="BA950">
        <f t="shared" si="26"/>
        <v>0</v>
      </c>
    </row>
    <row r="951" spans="41:53" x14ac:dyDescent="0.35">
      <c r="AO951" t="str">
        <f t="shared" si="27"/>
        <v/>
      </c>
      <c r="BA951">
        <f t="shared" si="26"/>
        <v>0</v>
      </c>
    </row>
    <row r="952" spans="41:53" x14ac:dyDescent="0.35">
      <c r="AO952" t="str">
        <f t="shared" si="27"/>
        <v/>
      </c>
      <c r="BA952">
        <f t="shared" si="26"/>
        <v>0</v>
      </c>
    </row>
    <row r="953" spans="41:53" x14ac:dyDescent="0.35">
      <c r="AO953" t="str">
        <f t="shared" si="27"/>
        <v/>
      </c>
      <c r="BA953">
        <f t="shared" si="26"/>
        <v>0</v>
      </c>
    </row>
    <row r="954" spans="41:53" x14ac:dyDescent="0.35">
      <c r="AO954" t="str">
        <f t="shared" si="27"/>
        <v/>
      </c>
      <c r="BA954">
        <f t="shared" si="26"/>
        <v>0</v>
      </c>
    </row>
    <row r="955" spans="41:53" x14ac:dyDescent="0.35">
      <c r="AO955" t="str">
        <f t="shared" si="27"/>
        <v/>
      </c>
      <c r="BA955">
        <f t="shared" si="26"/>
        <v>0</v>
      </c>
    </row>
    <row r="956" spans="41:53" x14ac:dyDescent="0.35">
      <c r="AO956" t="str">
        <f t="shared" si="27"/>
        <v/>
      </c>
      <c r="BA956">
        <f t="shared" si="26"/>
        <v>0</v>
      </c>
    </row>
    <row r="957" spans="41:53" x14ac:dyDescent="0.35">
      <c r="AO957" t="str">
        <f t="shared" si="27"/>
        <v/>
      </c>
      <c r="BA957">
        <f t="shared" si="26"/>
        <v>0</v>
      </c>
    </row>
    <row r="958" spans="41:53" x14ac:dyDescent="0.35">
      <c r="AO958" t="str">
        <f t="shared" si="27"/>
        <v/>
      </c>
      <c r="BA958">
        <f t="shared" si="26"/>
        <v>0</v>
      </c>
    </row>
    <row r="959" spans="41:53" x14ac:dyDescent="0.35">
      <c r="AO959" t="str">
        <f t="shared" si="27"/>
        <v/>
      </c>
      <c r="BA959">
        <f t="shared" si="26"/>
        <v>0</v>
      </c>
    </row>
    <row r="960" spans="41:53" x14ac:dyDescent="0.35">
      <c r="AO960" t="str">
        <f t="shared" si="27"/>
        <v/>
      </c>
      <c r="BA960">
        <f t="shared" si="26"/>
        <v>0</v>
      </c>
    </row>
    <row r="961" spans="39:53" x14ac:dyDescent="0.35">
      <c r="AO961" t="str">
        <f t="shared" si="27"/>
        <v/>
      </c>
      <c r="BA961">
        <f t="shared" si="26"/>
        <v>0</v>
      </c>
    </row>
    <row r="962" spans="39:53" x14ac:dyDescent="0.35">
      <c r="AO962" t="str">
        <f t="shared" si="27"/>
        <v/>
      </c>
      <c r="BA962">
        <f t="shared" si="26"/>
        <v>0</v>
      </c>
    </row>
    <row r="963" spans="39:53" x14ac:dyDescent="0.35">
      <c r="AO963" t="str">
        <f t="shared" si="27"/>
        <v/>
      </c>
      <c r="BA963">
        <f t="shared" si="26"/>
        <v>0</v>
      </c>
    </row>
    <row r="964" spans="39:53" x14ac:dyDescent="0.35">
      <c r="AO964" t="str">
        <f t="shared" si="27"/>
        <v/>
      </c>
      <c r="BA964">
        <f t="shared" si="26"/>
        <v>0</v>
      </c>
    </row>
    <row r="965" spans="39:53" x14ac:dyDescent="0.35">
      <c r="AO965" t="str">
        <f t="shared" si="27"/>
        <v/>
      </c>
      <c r="BA965">
        <f t="shared" si="26"/>
        <v>0</v>
      </c>
    </row>
    <row r="966" spans="39:53" x14ac:dyDescent="0.35">
      <c r="AO966" t="str">
        <f t="shared" si="27"/>
        <v/>
      </c>
      <c r="BA966">
        <f t="shared" si="26"/>
        <v>0</v>
      </c>
    </row>
    <row r="967" spans="39:53" x14ac:dyDescent="0.35">
      <c r="AO967" t="str">
        <f t="shared" si="27"/>
        <v/>
      </c>
      <c r="BA967">
        <f t="shared" si="26"/>
        <v>0</v>
      </c>
    </row>
    <row r="968" spans="39:53" x14ac:dyDescent="0.35">
      <c r="AO968" t="s">
        <v>290</v>
      </c>
    </row>
    <row r="969" spans="39:53" x14ac:dyDescent="0.35">
      <c r="AO969" t="s">
        <v>125</v>
      </c>
    </row>
    <row r="976" spans="39:53" x14ac:dyDescent="0.35">
      <c r="AM976" t="b">
        <v>0</v>
      </c>
      <c r="AO976" t="s">
        <v>288</v>
      </c>
      <c r="BA976">
        <f>SUM(BA980:BA1005)</f>
        <v>0</v>
      </c>
    </row>
    <row r="977" spans="39:53" x14ac:dyDescent="0.35">
      <c r="AO977" t="s">
        <v>292</v>
      </c>
      <c r="AR977" t="s">
        <v>147</v>
      </c>
      <c r="AX977" t="s">
        <v>275</v>
      </c>
      <c r="AZ977" t="str">
        <f>IF(COUNTA(AP980:AP1019,AP1021)=0,"XXX","")</f>
        <v>XXX</v>
      </c>
    </row>
    <row r="978" spans="39:53" ht="21" customHeight="1" x14ac:dyDescent="0.35">
      <c r="AO978" t="s">
        <v>161</v>
      </c>
      <c r="AP978" t="s">
        <v>277</v>
      </c>
      <c r="AQ978" t="s">
        <v>297</v>
      </c>
      <c r="AR978" t="s">
        <v>269</v>
      </c>
      <c r="AS978" t="s">
        <v>293</v>
      </c>
      <c r="AT978" t="s">
        <v>294</v>
      </c>
      <c r="AU978" t="s">
        <v>295</v>
      </c>
      <c r="AV978" t="s">
        <v>296</v>
      </c>
      <c r="AW978" t="s">
        <v>299</v>
      </c>
      <c r="AX978" t="s">
        <v>45</v>
      </c>
    </row>
    <row r="979" spans="39:53" x14ac:dyDescent="0.35">
      <c r="AM979" t="s">
        <v>257</v>
      </c>
    </row>
    <row r="980" spans="39:53" x14ac:dyDescent="0.35">
      <c r="AM980" t="s">
        <v>289</v>
      </c>
      <c r="AO980" t="str">
        <f>IF(BA980&gt;0,1,"")</f>
        <v/>
      </c>
      <c r="BA980">
        <f t="shared" ref="BA980:BA1019" si="28">IF(COUNTA(AP980:AY980)=0,0,1)</f>
        <v>0</v>
      </c>
    </row>
    <row r="981" spans="39:53" x14ac:dyDescent="0.35">
      <c r="AO981" t="str">
        <f t="shared" ref="AO981:AO1019" si="29">IF(BA981&gt;0,1+AO980,"")</f>
        <v/>
      </c>
      <c r="BA981">
        <f t="shared" si="28"/>
        <v>0</v>
      </c>
    </row>
    <row r="982" spans="39:53" x14ac:dyDescent="0.35">
      <c r="AO982" t="str">
        <f t="shared" si="29"/>
        <v/>
      </c>
      <c r="BA982">
        <f t="shared" si="28"/>
        <v>0</v>
      </c>
    </row>
    <row r="983" spans="39:53" x14ac:dyDescent="0.35">
      <c r="AO983" t="str">
        <f t="shared" si="29"/>
        <v/>
      </c>
      <c r="BA983">
        <f t="shared" si="28"/>
        <v>0</v>
      </c>
    </row>
    <row r="984" spans="39:53" x14ac:dyDescent="0.35">
      <c r="AO984" t="str">
        <f t="shared" si="29"/>
        <v/>
      </c>
      <c r="BA984">
        <f t="shared" si="28"/>
        <v>0</v>
      </c>
    </row>
    <row r="985" spans="39:53" x14ac:dyDescent="0.35">
      <c r="AO985" t="str">
        <f t="shared" si="29"/>
        <v/>
      </c>
      <c r="BA985">
        <f t="shared" si="28"/>
        <v>0</v>
      </c>
    </row>
    <row r="986" spans="39:53" x14ac:dyDescent="0.35">
      <c r="AO986" t="str">
        <f t="shared" si="29"/>
        <v/>
      </c>
      <c r="BA986">
        <f t="shared" si="28"/>
        <v>0</v>
      </c>
    </row>
    <row r="987" spans="39:53" x14ac:dyDescent="0.35">
      <c r="AO987" t="str">
        <f t="shared" si="29"/>
        <v/>
      </c>
      <c r="BA987">
        <f t="shared" si="28"/>
        <v>0</v>
      </c>
    </row>
    <row r="988" spans="39:53" x14ac:dyDescent="0.35">
      <c r="AO988" t="str">
        <f t="shared" si="29"/>
        <v/>
      </c>
      <c r="BA988">
        <f t="shared" si="28"/>
        <v>0</v>
      </c>
    </row>
    <row r="989" spans="39:53" x14ac:dyDescent="0.35">
      <c r="AO989" t="str">
        <f t="shared" si="29"/>
        <v/>
      </c>
      <c r="BA989">
        <f t="shared" si="28"/>
        <v>0</v>
      </c>
    </row>
    <row r="990" spans="39:53" x14ac:dyDescent="0.35">
      <c r="AO990" t="str">
        <f t="shared" si="29"/>
        <v/>
      </c>
      <c r="BA990">
        <f t="shared" si="28"/>
        <v>0</v>
      </c>
    </row>
    <row r="991" spans="39:53" x14ac:dyDescent="0.35">
      <c r="AO991" t="str">
        <f t="shared" si="29"/>
        <v/>
      </c>
      <c r="BA991">
        <f t="shared" si="28"/>
        <v>0</v>
      </c>
    </row>
    <row r="992" spans="39:53" x14ac:dyDescent="0.35">
      <c r="AO992" t="str">
        <f t="shared" si="29"/>
        <v/>
      </c>
      <c r="BA992">
        <f t="shared" si="28"/>
        <v>0</v>
      </c>
    </row>
    <row r="993" spans="41:53" x14ac:dyDescent="0.35">
      <c r="AO993" t="str">
        <f t="shared" si="29"/>
        <v/>
      </c>
      <c r="BA993">
        <f t="shared" si="28"/>
        <v>0</v>
      </c>
    </row>
    <row r="994" spans="41:53" x14ac:dyDescent="0.35">
      <c r="AO994" t="str">
        <f t="shared" si="29"/>
        <v/>
      </c>
      <c r="BA994">
        <f t="shared" si="28"/>
        <v>0</v>
      </c>
    </row>
    <row r="995" spans="41:53" x14ac:dyDescent="0.35">
      <c r="AO995" t="str">
        <f t="shared" si="29"/>
        <v/>
      </c>
      <c r="BA995">
        <f t="shared" si="28"/>
        <v>0</v>
      </c>
    </row>
    <row r="996" spans="41:53" x14ac:dyDescent="0.35">
      <c r="AO996" t="str">
        <f t="shared" si="29"/>
        <v/>
      </c>
      <c r="BA996">
        <f t="shared" si="28"/>
        <v>0</v>
      </c>
    </row>
    <row r="997" spans="41:53" x14ac:dyDescent="0.35">
      <c r="AO997" t="str">
        <f t="shared" si="29"/>
        <v/>
      </c>
      <c r="BA997">
        <f t="shared" si="28"/>
        <v>0</v>
      </c>
    </row>
    <row r="998" spans="41:53" x14ac:dyDescent="0.35">
      <c r="AO998" t="str">
        <f t="shared" si="29"/>
        <v/>
      </c>
      <c r="BA998">
        <f t="shared" si="28"/>
        <v>0</v>
      </c>
    </row>
    <row r="999" spans="41:53" x14ac:dyDescent="0.35">
      <c r="AO999" t="str">
        <f t="shared" si="29"/>
        <v/>
      </c>
      <c r="BA999">
        <f t="shared" si="28"/>
        <v>0</v>
      </c>
    </row>
    <row r="1000" spans="41:53" x14ac:dyDescent="0.35">
      <c r="AO1000" t="str">
        <f t="shared" si="29"/>
        <v/>
      </c>
      <c r="BA1000">
        <f t="shared" si="28"/>
        <v>0</v>
      </c>
    </row>
    <row r="1001" spans="41:53" x14ac:dyDescent="0.35">
      <c r="AO1001" t="str">
        <f t="shared" si="29"/>
        <v/>
      </c>
      <c r="BA1001">
        <f t="shared" si="28"/>
        <v>0</v>
      </c>
    </row>
    <row r="1002" spans="41:53" x14ac:dyDescent="0.35">
      <c r="AO1002" t="str">
        <f t="shared" si="29"/>
        <v/>
      </c>
      <c r="BA1002">
        <f t="shared" si="28"/>
        <v>0</v>
      </c>
    </row>
    <row r="1003" spans="41:53" x14ac:dyDescent="0.35">
      <c r="AO1003" t="str">
        <f t="shared" si="29"/>
        <v/>
      </c>
      <c r="BA1003">
        <f t="shared" si="28"/>
        <v>0</v>
      </c>
    </row>
    <row r="1004" spans="41:53" x14ac:dyDescent="0.35">
      <c r="AO1004" t="str">
        <f t="shared" si="29"/>
        <v/>
      </c>
      <c r="BA1004">
        <f t="shared" si="28"/>
        <v>0</v>
      </c>
    </row>
    <row r="1005" spans="41:53" x14ac:dyDescent="0.35">
      <c r="AO1005" t="str">
        <f t="shared" si="29"/>
        <v/>
      </c>
      <c r="BA1005">
        <f t="shared" si="28"/>
        <v>0</v>
      </c>
    </row>
    <row r="1006" spans="41:53" x14ac:dyDescent="0.35">
      <c r="AO1006" t="str">
        <f t="shared" si="29"/>
        <v/>
      </c>
      <c r="BA1006">
        <f t="shared" si="28"/>
        <v>0</v>
      </c>
    </row>
    <row r="1007" spans="41:53" x14ac:dyDescent="0.35">
      <c r="AO1007" t="str">
        <f t="shared" si="29"/>
        <v/>
      </c>
      <c r="BA1007">
        <f t="shared" si="28"/>
        <v>0</v>
      </c>
    </row>
    <row r="1008" spans="41:53" x14ac:dyDescent="0.35">
      <c r="AO1008" t="str">
        <f t="shared" si="29"/>
        <v/>
      </c>
      <c r="BA1008">
        <f t="shared" si="28"/>
        <v>0</v>
      </c>
    </row>
    <row r="1009" spans="39:53" x14ac:dyDescent="0.35">
      <c r="AO1009" t="str">
        <f t="shared" si="29"/>
        <v/>
      </c>
      <c r="BA1009">
        <f t="shared" si="28"/>
        <v>0</v>
      </c>
    </row>
    <row r="1010" spans="39:53" x14ac:dyDescent="0.35">
      <c r="AO1010" t="str">
        <f t="shared" si="29"/>
        <v/>
      </c>
      <c r="BA1010">
        <f t="shared" si="28"/>
        <v>0</v>
      </c>
    </row>
    <row r="1011" spans="39:53" x14ac:dyDescent="0.35">
      <c r="AO1011" t="str">
        <f t="shared" si="29"/>
        <v/>
      </c>
      <c r="BA1011">
        <f t="shared" si="28"/>
        <v>0</v>
      </c>
    </row>
    <row r="1012" spans="39:53" x14ac:dyDescent="0.35">
      <c r="AO1012" t="str">
        <f t="shared" si="29"/>
        <v/>
      </c>
      <c r="BA1012">
        <f t="shared" si="28"/>
        <v>0</v>
      </c>
    </row>
    <row r="1013" spans="39:53" x14ac:dyDescent="0.35">
      <c r="AO1013" t="str">
        <f t="shared" si="29"/>
        <v/>
      </c>
      <c r="BA1013">
        <f t="shared" si="28"/>
        <v>0</v>
      </c>
    </row>
    <row r="1014" spans="39:53" x14ac:dyDescent="0.35">
      <c r="AO1014" t="str">
        <f t="shared" si="29"/>
        <v/>
      </c>
      <c r="BA1014">
        <f t="shared" si="28"/>
        <v>0</v>
      </c>
    </row>
    <row r="1015" spans="39:53" x14ac:dyDescent="0.35">
      <c r="AO1015" t="str">
        <f t="shared" si="29"/>
        <v/>
      </c>
      <c r="BA1015">
        <f t="shared" si="28"/>
        <v>0</v>
      </c>
    </row>
    <row r="1016" spans="39:53" x14ac:dyDescent="0.35">
      <c r="AO1016" t="str">
        <f t="shared" si="29"/>
        <v/>
      </c>
      <c r="BA1016">
        <f t="shared" si="28"/>
        <v>0</v>
      </c>
    </row>
    <row r="1017" spans="39:53" x14ac:dyDescent="0.35">
      <c r="AO1017" t="str">
        <f t="shared" si="29"/>
        <v/>
      </c>
      <c r="BA1017">
        <f t="shared" si="28"/>
        <v>0</v>
      </c>
    </row>
    <row r="1018" spans="39:53" x14ac:dyDescent="0.35">
      <c r="AO1018" t="str">
        <f t="shared" si="29"/>
        <v/>
      </c>
      <c r="BA1018">
        <f t="shared" si="28"/>
        <v>0</v>
      </c>
    </row>
    <row r="1019" spans="39:53" x14ac:dyDescent="0.35">
      <c r="AO1019" t="str">
        <f t="shared" si="29"/>
        <v/>
      </c>
      <c r="BA1019">
        <f t="shared" si="28"/>
        <v>0</v>
      </c>
    </row>
    <row r="1020" spans="39:53" x14ac:dyDescent="0.35">
      <c r="AM1020" t="s">
        <v>159</v>
      </c>
      <c r="AO1020" t="s">
        <v>291</v>
      </c>
    </row>
    <row r="1021" spans="39:53" x14ac:dyDescent="0.35">
      <c r="AM1021" t="s">
        <v>282</v>
      </c>
      <c r="AO1021" t="s">
        <v>125</v>
      </c>
    </row>
    <row r="1023" spans="39:53" x14ac:dyDescent="0.35">
      <c r="AM1023" t="s">
        <v>298</v>
      </c>
    </row>
    <row r="1024" spans="39:53" x14ac:dyDescent="0.35">
      <c r="AM1024" t="s">
        <v>46</v>
      </c>
    </row>
    <row r="1028" spans="39:53" x14ac:dyDescent="0.35">
      <c r="AM1028" t="b">
        <v>0</v>
      </c>
      <c r="AO1028" t="s">
        <v>300</v>
      </c>
      <c r="BA1028">
        <f>SUM(BA1032:BA1057)</f>
        <v>0</v>
      </c>
    </row>
    <row r="1029" spans="39:53" x14ac:dyDescent="0.35">
      <c r="AO1029" t="s">
        <v>301</v>
      </c>
      <c r="AR1029" t="s">
        <v>147</v>
      </c>
      <c r="AX1029" t="s">
        <v>275</v>
      </c>
      <c r="AZ1029" t="str">
        <f>IF(COUNTA(AP1032:AP1071,AP1073)=0,"XXX","")</f>
        <v>XXX</v>
      </c>
    </row>
    <row r="1030" spans="39:53" ht="21" customHeight="1" x14ac:dyDescent="0.35">
      <c r="AO1030" t="s">
        <v>161</v>
      </c>
      <c r="AP1030" t="s">
        <v>304</v>
      </c>
      <c r="AQ1030" t="s">
        <v>305</v>
      </c>
      <c r="AR1030" t="s">
        <v>269</v>
      </c>
      <c r="AS1030" t="s">
        <v>100</v>
      </c>
      <c r="AT1030" t="s">
        <v>306</v>
      </c>
      <c r="AU1030" t="s">
        <v>299</v>
      </c>
      <c r="AV1030" t="s">
        <v>45</v>
      </c>
    </row>
    <row r="1031" spans="39:53" x14ac:dyDescent="0.35">
      <c r="AM1031" t="s">
        <v>302</v>
      </c>
    </row>
    <row r="1032" spans="39:53" x14ac:dyDescent="0.35">
      <c r="AM1032" t="s">
        <v>303</v>
      </c>
      <c r="AO1032" t="str">
        <f>IF(BA1032&gt;0,1,"")</f>
        <v/>
      </c>
      <c r="BA1032">
        <f t="shared" ref="BA1032:BA1071" si="30">IF(COUNTA(AP1032:AY1032)=0,0,1)</f>
        <v>0</v>
      </c>
    </row>
    <row r="1033" spans="39:53" x14ac:dyDescent="0.35">
      <c r="AM1033" t="s">
        <v>282</v>
      </c>
      <c r="AO1033" t="str">
        <f t="shared" ref="AO1033:AO1071" si="31">IF(BA1033&gt;0,1+AO1032,"")</f>
        <v/>
      </c>
      <c r="BA1033">
        <f t="shared" si="30"/>
        <v>0</v>
      </c>
    </row>
    <row r="1034" spans="39:53" x14ac:dyDescent="0.35">
      <c r="AM1034" t="s">
        <v>298</v>
      </c>
      <c r="AO1034" t="str">
        <f t="shared" si="31"/>
        <v/>
      </c>
      <c r="BA1034">
        <f t="shared" si="30"/>
        <v>0</v>
      </c>
    </row>
    <row r="1035" spans="39:53" x14ac:dyDescent="0.35">
      <c r="AM1035" t="s">
        <v>46</v>
      </c>
      <c r="AO1035" t="str">
        <f t="shared" si="31"/>
        <v/>
      </c>
      <c r="BA1035">
        <f t="shared" si="30"/>
        <v>0</v>
      </c>
    </row>
    <row r="1036" spans="39:53" x14ac:dyDescent="0.35">
      <c r="AO1036" t="str">
        <f t="shared" si="31"/>
        <v/>
      </c>
      <c r="BA1036">
        <f t="shared" si="30"/>
        <v>0</v>
      </c>
    </row>
    <row r="1037" spans="39:53" x14ac:dyDescent="0.35">
      <c r="AM1037" t="s">
        <v>307</v>
      </c>
      <c r="AO1037" t="str">
        <f t="shared" si="31"/>
        <v/>
      </c>
      <c r="BA1037">
        <f t="shared" si="30"/>
        <v>0</v>
      </c>
    </row>
    <row r="1038" spans="39:53" x14ac:dyDescent="0.35">
      <c r="AM1038" t="s">
        <v>308</v>
      </c>
      <c r="AO1038" t="str">
        <f t="shared" si="31"/>
        <v/>
      </c>
      <c r="BA1038">
        <f t="shared" si="30"/>
        <v>0</v>
      </c>
    </row>
    <row r="1039" spans="39:53" x14ac:dyDescent="0.35">
      <c r="AO1039" t="str">
        <f t="shared" si="31"/>
        <v/>
      </c>
      <c r="BA1039">
        <f t="shared" si="30"/>
        <v>0</v>
      </c>
    </row>
    <row r="1040" spans="39:53" x14ac:dyDescent="0.35">
      <c r="AO1040" t="str">
        <f t="shared" si="31"/>
        <v/>
      </c>
      <c r="BA1040">
        <f t="shared" si="30"/>
        <v>0</v>
      </c>
    </row>
    <row r="1041" spans="41:53" x14ac:dyDescent="0.35">
      <c r="AO1041" t="str">
        <f t="shared" si="31"/>
        <v/>
      </c>
      <c r="BA1041">
        <f t="shared" si="30"/>
        <v>0</v>
      </c>
    </row>
    <row r="1042" spans="41:53" x14ac:dyDescent="0.35">
      <c r="AO1042" t="str">
        <f t="shared" si="31"/>
        <v/>
      </c>
      <c r="BA1042">
        <f t="shared" si="30"/>
        <v>0</v>
      </c>
    </row>
    <row r="1043" spans="41:53" x14ac:dyDescent="0.35">
      <c r="AO1043" t="str">
        <f t="shared" si="31"/>
        <v/>
      </c>
      <c r="BA1043">
        <f t="shared" si="30"/>
        <v>0</v>
      </c>
    </row>
    <row r="1044" spans="41:53" x14ac:dyDescent="0.35">
      <c r="AO1044" t="str">
        <f t="shared" si="31"/>
        <v/>
      </c>
      <c r="BA1044">
        <f t="shared" si="30"/>
        <v>0</v>
      </c>
    </row>
    <row r="1045" spans="41:53" x14ac:dyDescent="0.35">
      <c r="AO1045" t="str">
        <f t="shared" si="31"/>
        <v/>
      </c>
      <c r="BA1045">
        <f t="shared" si="30"/>
        <v>0</v>
      </c>
    </row>
    <row r="1046" spans="41:53" x14ac:dyDescent="0.35">
      <c r="AO1046" t="str">
        <f t="shared" si="31"/>
        <v/>
      </c>
      <c r="BA1046">
        <f t="shared" si="30"/>
        <v>0</v>
      </c>
    </row>
    <row r="1047" spans="41:53" x14ac:dyDescent="0.35">
      <c r="AO1047" t="str">
        <f t="shared" si="31"/>
        <v/>
      </c>
      <c r="BA1047">
        <f t="shared" si="30"/>
        <v>0</v>
      </c>
    </row>
    <row r="1048" spans="41:53" x14ac:dyDescent="0.35">
      <c r="AO1048" t="str">
        <f t="shared" si="31"/>
        <v/>
      </c>
      <c r="BA1048">
        <f t="shared" si="30"/>
        <v>0</v>
      </c>
    </row>
    <row r="1049" spans="41:53" x14ac:dyDescent="0.35">
      <c r="AO1049" t="str">
        <f t="shared" si="31"/>
        <v/>
      </c>
      <c r="BA1049">
        <f t="shared" si="30"/>
        <v>0</v>
      </c>
    </row>
    <row r="1050" spans="41:53" x14ac:dyDescent="0.35">
      <c r="AO1050" t="str">
        <f t="shared" si="31"/>
        <v/>
      </c>
      <c r="BA1050">
        <f t="shared" si="30"/>
        <v>0</v>
      </c>
    </row>
    <row r="1051" spans="41:53" x14ac:dyDescent="0.35">
      <c r="AO1051" t="str">
        <f t="shared" si="31"/>
        <v/>
      </c>
      <c r="BA1051">
        <f t="shared" si="30"/>
        <v>0</v>
      </c>
    </row>
    <row r="1052" spans="41:53" x14ac:dyDescent="0.35">
      <c r="AO1052" t="str">
        <f t="shared" si="31"/>
        <v/>
      </c>
      <c r="BA1052">
        <f t="shared" si="30"/>
        <v>0</v>
      </c>
    </row>
    <row r="1053" spans="41:53" x14ac:dyDescent="0.35">
      <c r="AO1053" t="str">
        <f t="shared" si="31"/>
        <v/>
      </c>
      <c r="BA1053">
        <f t="shared" si="30"/>
        <v>0</v>
      </c>
    </row>
    <row r="1054" spans="41:53" x14ac:dyDescent="0.35">
      <c r="AO1054" t="str">
        <f t="shared" si="31"/>
        <v/>
      </c>
      <c r="BA1054">
        <f t="shared" si="30"/>
        <v>0</v>
      </c>
    </row>
    <row r="1055" spans="41:53" x14ac:dyDescent="0.35">
      <c r="AO1055" t="str">
        <f t="shared" si="31"/>
        <v/>
      </c>
      <c r="BA1055">
        <f t="shared" si="30"/>
        <v>0</v>
      </c>
    </row>
    <row r="1056" spans="41:53" x14ac:dyDescent="0.35">
      <c r="AO1056" t="str">
        <f t="shared" si="31"/>
        <v/>
      </c>
      <c r="BA1056">
        <f t="shared" si="30"/>
        <v>0</v>
      </c>
    </row>
    <row r="1057" spans="39:53" x14ac:dyDescent="0.35">
      <c r="AO1057" t="str">
        <f t="shared" si="31"/>
        <v/>
      </c>
      <c r="BA1057">
        <f t="shared" si="30"/>
        <v>0</v>
      </c>
    </row>
    <row r="1058" spans="39:53" x14ac:dyDescent="0.35">
      <c r="AO1058" t="str">
        <f t="shared" si="31"/>
        <v/>
      </c>
      <c r="BA1058">
        <f t="shared" si="30"/>
        <v>0</v>
      </c>
    </row>
    <row r="1059" spans="39:53" x14ac:dyDescent="0.35">
      <c r="AO1059" t="str">
        <f t="shared" si="31"/>
        <v/>
      </c>
      <c r="BA1059">
        <f t="shared" si="30"/>
        <v>0</v>
      </c>
    </row>
    <row r="1060" spans="39:53" x14ac:dyDescent="0.35">
      <c r="AO1060" t="str">
        <f t="shared" si="31"/>
        <v/>
      </c>
      <c r="BA1060">
        <f t="shared" si="30"/>
        <v>0</v>
      </c>
    </row>
    <row r="1061" spans="39:53" x14ac:dyDescent="0.35">
      <c r="AO1061" t="str">
        <f t="shared" si="31"/>
        <v/>
      </c>
      <c r="BA1061">
        <f t="shared" si="30"/>
        <v>0</v>
      </c>
    </row>
    <row r="1062" spans="39:53" x14ac:dyDescent="0.35">
      <c r="AO1062" t="str">
        <f t="shared" si="31"/>
        <v/>
      </c>
      <c r="BA1062">
        <f t="shared" si="30"/>
        <v>0</v>
      </c>
    </row>
    <row r="1063" spans="39:53" x14ac:dyDescent="0.35">
      <c r="AO1063" t="str">
        <f t="shared" si="31"/>
        <v/>
      </c>
      <c r="BA1063">
        <f t="shared" si="30"/>
        <v>0</v>
      </c>
    </row>
    <row r="1064" spans="39:53" x14ac:dyDescent="0.35">
      <c r="AO1064" t="str">
        <f t="shared" si="31"/>
        <v/>
      </c>
      <c r="BA1064">
        <f t="shared" si="30"/>
        <v>0</v>
      </c>
    </row>
    <row r="1065" spans="39:53" x14ac:dyDescent="0.35">
      <c r="AO1065" t="str">
        <f t="shared" si="31"/>
        <v/>
      </c>
      <c r="BA1065">
        <f t="shared" si="30"/>
        <v>0</v>
      </c>
    </row>
    <row r="1066" spans="39:53" x14ac:dyDescent="0.35">
      <c r="AO1066" t="str">
        <f t="shared" si="31"/>
        <v/>
      </c>
      <c r="BA1066">
        <f t="shared" si="30"/>
        <v>0</v>
      </c>
    </row>
    <row r="1067" spans="39:53" x14ac:dyDescent="0.35">
      <c r="AO1067" t="str">
        <f t="shared" si="31"/>
        <v/>
      </c>
      <c r="BA1067">
        <f t="shared" si="30"/>
        <v>0</v>
      </c>
    </row>
    <row r="1068" spans="39:53" x14ac:dyDescent="0.35">
      <c r="AO1068" t="str">
        <f t="shared" si="31"/>
        <v/>
      </c>
      <c r="BA1068">
        <f t="shared" si="30"/>
        <v>0</v>
      </c>
    </row>
    <row r="1069" spans="39:53" x14ac:dyDescent="0.35">
      <c r="AO1069" t="str">
        <f t="shared" si="31"/>
        <v/>
      </c>
      <c r="BA1069">
        <f t="shared" si="30"/>
        <v>0</v>
      </c>
    </row>
    <row r="1070" spans="39:53" x14ac:dyDescent="0.35">
      <c r="AO1070" t="str">
        <f t="shared" si="31"/>
        <v/>
      </c>
      <c r="BA1070">
        <f t="shared" si="30"/>
        <v>0</v>
      </c>
    </row>
    <row r="1071" spans="39:53" x14ac:dyDescent="0.35">
      <c r="AO1071" t="str">
        <f t="shared" si="31"/>
        <v/>
      </c>
      <c r="BA1071">
        <f t="shared" si="30"/>
        <v>0</v>
      </c>
    </row>
    <row r="1072" spans="39:53" x14ac:dyDescent="0.35">
      <c r="AM1072" t="s">
        <v>159</v>
      </c>
    </row>
    <row r="1073" spans="39:53" x14ac:dyDescent="0.35">
      <c r="AM1073" t="s">
        <v>282</v>
      </c>
      <c r="AO1073" t="s">
        <v>125</v>
      </c>
    </row>
    <row r="1075" spans="39:53" x14ac:dyDescent="0.35">
      <c r="AM1075" t="s">
        <v>298</v>
      </c>
    </row>
    <row r="1076" spans="39:53" x14ac:dyDescent="0.35">
      <c r="AM1076" t="s">
        <v>46</v>
      </c>
    </row>
    <row r="1080" spans="39:53" x14ac:dyDescent="0.35">
      <c r="AM1080" t="b">
        <v>0</v>
      </c>
      <c r="AO1080" t="s">
        <v>312</v>
      </c>
      <c r="BA1080">
        <f>SUM(BA1084:BA1109)</f>
        <v>0</v>
      </c>
    </row>
    <row r="1081" spans="39:53" x14ac:dyDescent="0.35">
      <c r="AO1081" t="s">
        <v>313</v>
      </c>
      <c r="AR1081" t="s">
        <v>147</v>
      </c>
      <c r="AX1081" t="s">
        <v>275</v>
      </c>
      <c r="AZ1081" t="str">
        <f>IF(COUNTA(AP1084:AP1123,AP1125)=0,"XXX","")</f>
        <v>XXX</v>
      </c>
    </row>
    <row r="1082" spans="39:53" ht="21" customHeight="1" x14ac:dyDescent="0.35">
      <c r="AO1082" t="s">
        <v>161</v>
      </c>
      <c r="AP1082" t="s">
        <v>314</v>
      </c>
      <c r="AQ1082" t="s">
        <v>99</v>
      </c>
      <c r="AR1082" t="s">
        <v>176</v>
      </c>
      <c r="AS1082" t="s">
        <v>100</v>
      </c>
      <c r="AT1082" t="s">
        <v>315</v>
      </c>
      <c r="AU1082" t="s">
        <v>311</v>
      </c>
      <c r="AV1082" t="s">
        <v>299</v>
      </c>
      <c r="AW1082" t="s">
        <v>45</v>
      </c>
    </row>
    <row r="1083" spans="39:53" x14ac:dyDescent="0.35">
      <c r="AM1083" t="s">
        <v>302</v>
      </c>
    </row>
    <row r="1084" spans="39:53" x14ac:dyDescent="0.35">
      <c r="AM1084" t="s">
        <v>303</v>
      </c>
      <c r="AO1084" t="str">
        <f>IF(BA1084&gt;0,1,"")</f>
        <v/>
      </c>
      <c r="BA1084">
        <f t="shared" ref="BA1084:BA1123" si="32">IF(COUNTA(AP1084:AY1084)=0,0,1)</f>
        <v>0</v>
      </c>
    </row>
    <row r="1085" spans="39:53" x14ac:dyDescent="0.35">
      <c r="AM1085" t="s">
        <v>282</v>
      </c>
      <c r="AO1085" t="str">
        <f t="shared" ref="AO1085:AO1123" si="33">IF(BA1085&gt;0,1+AO1084,"")</f>
        <v/>
      </c>
      <c r="BA1085">
        <f t="shared" si="32"/>
        <v>0</v>
      </c>
    </row>
    <row r="1086" spans="39:53" x14ac:dyDescent="0.35">
      <c r="AM1086" t="s">
        <v>298</v>
      </c>
      <c r="AO1086" t="str">
        <f t="shared" si="33"/>
        <v/>
      </c>
      <c r="BA1086">
        <f t="shared" si="32"/>
        <v>0</v>
      </c>
    </row>
    <row r="1087" spans="39:53" x14ac:dyDescent="0.35">
      <c r="AM1087" t="s">
        <v>46</v>
      </c>
      <c r="AO1087" t="str">
        <f t="shared" si="33"/>
        <v/>
      </c>
      <c r="BA1087">
        <f t="shared" si="32"/>
        <v>0</v>
      </c>
    </row>
    <row r="1088" spans="39:53" x14ac:dyDescent="0.35">
      <c r="AO1088" t="str">
        <f t="shared" si="33"/>
        <v/>
      </c>
      <c r="BA1088">
        <f t="shared" si="32"/>
        <v>0</v>
      </c>
    </row>
    <row r="1089" spans="39:53" x14ac:dyDescent="0.35">
      <c r="AM1089" t="s">
        <v>307</v>
      </c>
      <c r="AO1089" t="str">
        <f t="shared" si="33"/>
        <v/>
      </c>
      <c r="BA1089">
        <f t="shared" si="32"/>
        <v>0</v>
      </c>
    </row>
    <row r="1090" spans="39:53" x14ac:dyDescent="0.35">
      <c r="AM1090" t="s">
        <v>308</v>
      </c>
      <c r="AO1090" t="str">
        <f t="shared" si="33"/>
        <v/>
      </c>
      <c r="BA1090">
        <f t="shared" si="32"/>
        <v>0</v>
      </c>
    </row>
    <row r="1091" spans="39:53" x14ac:dyDescent="0.35">
      <c r="AO1091" t="str">
        <f t="shared" si="33"/>
        <v/>
      </c>
      <c r="BA1091">
        <f t="shared" si="32"/>
        <v>0</v>
      </c>
    </row>
    <row r="1092" spans="39:53" x14ac:dyDescent="0.35">
      <c r="AO1092" t="str">
        <f t="shared" si="33"/>
        <v/>
      </c>
      <c r="BA1092">
        <f t="shared" si="32"/>
        <v>0</v>
      </c>
    </row>
    <row r="1093" spans="39:53" x14ac:dyDescent="0.35">
      <c r="AO1093" t="str">
        <f t="shared" si="33"/>
        <v/>
      </c>
      <c r="BA1093">
        <f t="shared" si="32"/>
        <v>0</v>
      </c>
    </row>
    <row r="1094" spans="39:53" x14ac:dyDescent="0.35">
      <c r="AO1094" t="str">
        <f t="shared" si="33"/>
        <v/>
      </c>
      <c r="BA1094">
        <f t="shared" si="32"/>
        <v>0</v>
      </c>
    </row>
    <row r="1095" spans="39:53" x14ac:dyDescent="0.35">
      <c r="AO1095" t="str">
        <f t="shared" si="33"/>
        <v/>
      </c>
      <c r="BA1095">
        <f t="shared" si="32"/>
        <v>0</v>
      </c>
    </row>
    <row r="1096" spans="39:53" x14ac:dyDescent="0.35">
      <c r="AO1096" t="str">
        <f t="shared" si="33"/>
        <v/>
      </c>
      <c r="BA1096">
        <f t="shared" si="32"/>
        <v>0</v>
      </c>
    </row>
    <row r="1097" spans="39:53" x14ac:dyDescent="0.35">
      <c r="AO1097" t="str">
        <f t="shared" si="33"/>
        <v/>
      </c>
      <c r="BA1097">
        <f t="shared" si="32"/>
        <v>0</v>
      </c>
    </row>
    <row r="1098" spans="39:53" x14ac:dyDescent="0.35">
      <c r="AO1098" t="str">
        <f t="shared" si="33"/>
        <v/>
      </c>
      <c r="BA1098">
        <f t="shared" si="32"/>
        <v>0</v>
      </c>
    </row>
    <row r="1099" spans="39:53" x14ac:dyDescent="0.35">
      <c r="AO1099" t="str">
        <f t="shared" si="33"/>
        <v/>
      </c>
      <c r="BA1099">
        <f t="shared" si="32"/>
        <v>0</v>
      </c>
    </row>
    <row r="1100" spans="39:53" x14ac:dyDescent="0.35">
      <c r="AO1100" t="str">
        <f t="shared" si="33"/>
        <v/>
      </c>
      <c r="BA1100">
        <f t="shared" si="32"/>
        <v>0</v>
      </c>
    </row>
    <row r="1101" spans="39:53" x14ac:dyDescent="0.35">
      <c r="AO1101" t="str">
        <f t="shared" si="33"/>
        <v/>
      </c>
      <c r="BA1101">
        <f t="shared" si="32"/>
        <v>0</v>
      </c>
    </row>
    <row r="1102" spans="39:53" x14ac:dyDescent="0.35">
      <c r="AO1102" t="str">
        <f t="shared" si="33"/>
        <v/>
      </c>
      <c r="BA1102">
        <f t="shared" si="32"/>
        <v>0</v>
      </c>
    </row>
    <row r="1103" spans="39:53" x14ac:dyDescent="0.35">
      <c r="AO1103" t="str">
        <f t="shared" si="33"/>
        <v/>
      </c>
      <c r="BA1103">
        <f t="shared" si="32"/>
        <v>0</v>
      </c>
    </row>
    <row r="1104" spans="39:53" x14ac:dyDescent="0.35">
      <c r="AO1104" t="str">
        <f t="shared" si="33"/>
        <v/>
      </c>
      <c r="BA1104">
        <f t="shared" si="32"/>
        <v>0</v>
      </c>
    </row>
    <row r="1105" spans="41:53" x14ac:dyDescent="0.35">
      <c r="AO1105" t="str">
        <f t="shared" si="33"/>
        <v/>
      </c>
      <c r="BA1105">
        <f t="shared" si="32"/>
        <v>0</v>
      </c>
    </row>
    <row r="1106" spans="41:53" x14ac:dyDescent="0.35">
      <c r="AO1106" t="str">
        <f t="shared" si="33"/>
        <v/>
      </c>
      <c r="BA1106">
        <f t="shared" si="32"/>
        <v>0</v>
      </c>
    </row>
    <row r="1107" spans="41:53" x14ac:dyDescent="0.35">
      <c r="AO1107" t="str">
        <f t="shared" si="33"/>
        <v/>
      </c>
      <c r="BA1107">
        <f t="shared" si="32"/>
        <v>0</v>
      </c>
    </row>
    <row r="1108" spans="41:53" x14ac:dyDescent="0.35">
      <c r="AO1108" t="str">
        <f t="shared" si="33"/>
        <v/>
      </c>
      <c r="BA1108">
        <f t="shared" si="32"/>
        <v>0</v>
      </c>
    </row>
    <row r="1109" spans="41:53" x14ac:dyDescent="0.35">
      <c r="AO1109" t="str">
        <f t="shared" si="33"/>
        <v/>
      </c>
      <c r="BA1109">
        <f t="shared" si="32"/>
        <v>0</v>
      </c>
    </row>
    <row r="1110" spans="41:53" x14ac:dyDescent="0.35">
      <c r="AO1110" t="str">
        <f t="shared" si="33"/>
        <v/>
      </c>
      <c r="BA1110">
        <f t="shared" si="32"/>
        <v>0</v>
      </c>
    </row>
    <row r="1111" spans="41:53" x14ac:dyDescent="0.35">
      <c r="AO1111" t="str">
        <f t="shared" si="33"/>
        <v/>
      </c>
      <c r="BA1111">
        <f t="shared" si="32"/>
        <v>0</v>
      </c>
    </row>
    <row r="1112" spans="41:53" x14ac:dyDescent="0.35">
      <c r="AO1112" t="str">
        <f t="shared" si="33"/>
        <v/>
      </c>
      <c r="BA1112">
        <f t="shared" si="32"/>
        <v>0</v>
      </c>
    </row>
    <row r="1113" spans="41:53" x14ac:dyDescent="0.35">
      <c r="AO1113" t="str">
        <f t="shared" si="33"/>
        <v/>
      </c>
      <c r="BA1113">
        <f t="shared" si="32"/>
        <v>0</v>
      </c>
    </row>
    <row r="1114" spans="41:53" x14ac:dyDescent="0.35">
      <c r="AO1114" t="str">
        <f t="shared" si="33"/>
        <v/>
      </c>
      <c r="BA1114">
        <f t="shared" si="32"/>
        <v>0</v>
      </c>
    </row>
    <row r="1115" spans="41:53" x14ac:dyDescent="0.35">
      <c r="AO1115" t="str">
        <f t="shared" si="33"/>
        <v/>
      </c>
      <c r="BA1115">
        <f t="shared" si="32"/>
        <v>0</v>
      </c>
    </row>
    <row r="1116" spans="41:53" x14ac:dyDescent="0.35">
      <c r="AO1116" t="str">
        <f t="shared" si="33"/>
        <v/>
      </c>
      <c r="BA1116">
        <f t="shared" si="32"/>
        <v>0</v>
      </c>
    </row>
    <row r="1117" spans="41:53" x14ac:dyDescent="0.35">
      <c r="AO1117" t="str">
        <f t="shared" si="33"/>
        <v/>
      </c>
      <c r="BA1117">
        <f t="shared" si="32"/>
        <v>0</v>
      </c>
    </row>
    <row r="1118" spans="41:53" x14ac:dyDescent="0.35">
      <c r="AO1118" t="str">
        <f t="shared" si="33"/>
        <v/>
      </c>
      <c r="BA1118">
        <f t="shared" si="32"/>
        <v>0</v>
      </c>
    </row>
    <row r="1119" spans="41:53" x14ac:dyDescent="0.35">
      <c r="AO1119" t="str">
        <f t="shared" si="33"/>
        <v/>
      </c>
      <c r="BA1119">
        <f t="shared" si="32"/>
        <v>0</v>
      </c>
    </row>
    <row r="1120" spans="41:53" x14ac:dyDescent="0.35">
      <c r="AO1120" t="str">
        <f t="shared" si="33"/>
        <v/>
      </c>
      <c r="BA1120">
        <f t="shared" si="32"/>
        <v>0</v>
      </c>
    </row>
    <row r="1121" spans="39:53" x14ac:dyDescent="0.35">
      <c r="AO1121" t="str">
        <f t="shared" si="33"/>
        <v/>
      </c>
      <c r="BA1121">
        <f t="shared" si="32"/>
        <v>0</v>
      </c>
    </row>
    <row r="1122" spans="39:53" x14ac:dyDescent="0.35">
      <c r="AO1122" t="str">
        <f t="shared" si="33"/>
        <v/>
      </c>
      <c r="BA1122">
        <f t="shared" si="32"/>
        <v>0</v>
      </c>
    </row>
    <row r="1123" spans="39:53" x14ac:dyDescent="0.35">
      <c r="AO1123" t="str">
        <f t="shared" si="33"/>
        <v/>
      </c>
      <c r="BA1123">
        <f t="shared" si="32"/>
        <v>0</v>
      </c>
    </row>
    <row r="1124" spans="39:53" x14ac:dyDescent="0.35">
      <c r="AM1124" t="s">
        <v>159</v>
      </c>
    </row>
    <row r="1125" spans="39:53" x14ac:dyDescent="0.35">
      <c r="AM1125" t="s">
        <v>282</v>
      </c>
      <c r="AO1125" t="s">
        <v>125</v>
      </c>
    </row>
    <row r="1127" spans="39:53" x14ac:dyDescent="0.35">
      <c r="AM1127" t="s">
        <v>298</v>
      </c>
    </row>
    <row r="1128" spans="39:53" x14ac:dyDescent="0.35">
      <c r="AM1128" t="s">
        <v>46</v>
      </c>
    </row>
    <row r="1132" spans="39:53" x14ac:dyDescent="0.35">
      <c r="AM1132" t="b">
        <v>0</v>
      </c>
      <c r="AO1132" t="s">
        <v>318</v>
      </c>
      <c r="BA1132">
        <f>SUM(BA1136:BA1161)</f>
        <v>0</v>
      </c>
    </row>
    <row r="1133" spans="39:53" x14ac:dyDescent="0.35">
      <c r="AM1133" t="s">
        <v>317</v>
      </c>
      <c r="AO1133" t="s">
        <v>309</v>
      </c>
      <c r="AR1133" t="s">
        <v>147</v>
      </c>
      <c r="AX1133" t="s">
        <v>275</v>
      </c>
      <c r="AZ1133" t="str">
        <f>IF(COUNTA(AP1136:AP1175,AP1177)=0,"XXX","")</f>
        <v>XXX</v>
      </c>
    </row>
    <row r="1134" spans="39:53" ht="21" customHeight="1" x14ac:dyDescent="0.35">
      <c r="AM1134" t="s">
        <v>324</v>
      </c>
      <c r="AO1134" t="s">
        <v>161</v>
      </c>
      <c r="AP1134" t="s">
        <v>310</v>
      </c>
      <c r="AQ1134" t="s">
        <v>99</v>
      </c>
      <c r="AR1134" t="s">
        <v>176</v>
      </c>
      <c r="AS1134" t="s">
        <v>326</v>
      </c>
      <c r="AT1134" t="s">
        <v>311</v>
      </c>
      <c r="AU1134" t="s">
        <v>299</v>
      </c>
      <c r="AV1134" t="s">
        <v>322</v>
      </c>
      <c r="AW1134" t="s">
        <v>45</v>
      </c>
    </row>
    <row r="1135" spans="39:53" x14ac:dyDescent="0.35">
      <c r="AM1135" t="s">
        <v>325</v>
      </c>
    </row>
    <row r="1136" spans="39:53" x14ac:dyDescent="0.35">
      <c r="AM1136" t="s">
        <v>316</v>
      </c>
      <c r="AO1136" t="str">
        <f>IF(BA1136&gt;0,1,"")</f>
        <v/>
      </c>
      <c r="BA1136">
        <f t="shared" ref="BA1136:BA1175" si="34">IF(COUNTA(AP1136:AY1136)=0,0,1)</f>
        <v>0</v>
      </c>
    </row>
    <row r="1137" spans="39:53" x14ac:dyDescent="0.35">
      <c r="AO1137" t="str">
        <f t="shared" ref="AO1137:AO1175" si="35">IF(BA1137&gt;0,1+AO1136,"")</f>
        <v/>
      </c>
      <c r="BA1137">
        <f t="shared" si="34"/>
        <v>0</v>
      </c>
    </row>
    <row r="1138" spans="39:53" x14ac:dyDescent="0.35">
      <c r="AM1138" t="s">
        <v>298</v>
      </c>
      <c r="AO1138" t="str">
        <f t="shared" si="35"/>
        <v/>
      </c>
      <c r="BA1138">
        <f t="shared" si="34"/>
        <v>0</v>
      </c>
    </row>
    <row r="1139" spans="39:53" x14ac:dyDescent="0.35">
      <c r="AM1139" t="s">
        <v>46</v>
      </c>
      <c r="AO1139" t="str">
        <f t="shared" si="35"/>
        <v/>
      </c>
      <c r="BA1139">
        <f t="shared" si="34"/>
        <v>0</v>
      </c>
    </row>
    <row r="1140" spans="39:53" x14ac:dyDescent="0.35">
      <c r="AO1140" t="str">
        <f t="shared" si="35"/>
        <v/>
      </c>
      <c r="BA1140">
        <f t="shared" si="34"/>
        <v>0</v>
      </c>
    </row>
    <row r="1141" spans="39:53" x14ac:dyDescent="0.35">
      <c r="AM1141" t="s">
        <v>307</v>
      </c>
      <c r="AO1141" t="str">
        <f t="shared" si="35"/>
        <v/>
      </c>
      <c r="BA1141">
        <f t="shared" si="34"/>
        <v>0</v>
      </c>
    </row>
    <row r="1142" spans="39:53" x14ac:dyDescent="0.35">
      <c r="AM1142" t="s">
        <v>308</v>
      </c>
      <c r="AO1142" t="str">
        <f t="shared" si="35"/>
        <v/>
      </c>
      <c r="BA1142">
        <f t="shared" si="34"/>
        <v>0</v>
      </c>
    </row>
    <row r="1143" spans="39:53" x14ac:dyDescent="0.35">
      <c r="AO1143" t="str">
        <f t="shared" si="35"/>
        <v/>
      </c>
      <c r="BA1143">
        <f t="shared" si="34"/>
        <v>0</v>
      </c>
    </row>
    <row r="1144" spans="39:53" x14ac:dyDescent="0.35">
      <c r="AO1144" t="str">
        <f t="shared" si="35"/>
        <v/>
      </c>
      <c r="BA1144">
        <f t="shared" si="34"/>
        <v>0</v>
      </c>
    </row>
    <row r="1145" spans="39:53" x14ac:dyDescent="0.35">
      <c r="AO1145" t="str">
        <f t="shared" si="35"/>
        <v/>
      </c>
      <c r="BA1145">
        <f t="shared" si="34"/>
        <v>0</v>
      </c>
    </row>
    <row r="1146" spans="39:53" x14ac:dyDescent="0.35">
      <c r="AO1146" t="str">
        <f t="shared" si="35"/>
        <v/>
      </c>
      <c r="BA1146">
        <f t="shared" si="34"/>
        <v>0</v>
      </c>
    </row>
    <row r="1147" spans="39:53" x14ac:dyDescent="0.35">
      <c r="AO1147" t="str">
        <f t="shared" si="35"/>
        <v/>
      </c>
      <c r="BA1147">
        <f t="shared" si="34"/>
        <v>0</v>
      </c>
    </row>
    <row r="1148" spans="39:53" x14ac:dyDescent="0.35">
      <c r="AO1148" t="str">
        <f t="shared" si="35"/>
        <v/>
      </c>
      <c r="BA1148">
        <f t="shared" si="34"/>
        <v>0</v>
      </c>
    </row>
    <row r="1149" spans="39:53" x14ac:dyDescent="0.35">
      <c r="AO1149" t="str">
        <f t="shared" si="35"/>
        <v/>
      </c>
      <c r="BA1149">
        <f t="shared" si="34"/>
        <v>0</v>
      </c>
    </row>
    <row r="1150" spans="39:53" x14ac:dyDescent="0.35">
      <c r="AO1150" t="str">
        <f t="shared" si="35"/>
        <v/>
      </c>
      <c r="BA1150">
        <f t="shared" si="34"/>
        <v>0</v>
      </c>
    </row>
    <row r="1151" spans="39:53" x14ac:dyDescent="0.35">
      <c r="AO1151" t="str">
        <f t="shared" si="35"/>
        <v/>
      </c>
      <c r="BA1151">
        <f t="shared" si="34"/>
        <v>0</v>
      </c>
    </row>
    <row r="1152" spans="39:53" x14ac:dyDescent="0.35">
      <c r="AO1152" t="str">
        <f t="shared" si="35"/>
        <v/>
      </c>
      <c r="BA1152">
        <f t="shared" si="34"/>
        <v>0</v>
      </c>
    </row>
    <row r="1153" spans="41:53" x14ac:dyDescent="0.35">
      <c r="AO1153" t="str">
        <f t="shared" si="35"/>
        <v/>
      </c>
      <c r="BA1153">
        <f t="shared" si="34"/>
        <v>0</v>
      </c>
    </row>
    <row r="1154" spans="41:53" x14ac:dyDescent="0.35">
      <c r="AO1154" t="str">
        <f t="shared" si="35"/>
        <v/>
      </c>
      <c r="BA1154">
        <f t="shared" si="34"/>
        <v>0</v>
      </c>
    </row>
    <row r="1155" spans="41:53" x14ac:dyDescent="0.35">
      <c r="AO1155" t="str">
        <f t="shared" si="35"/>
        <v/>
      </c>
      <c r="BA1155">
        <f t="shared" si="34"/>
        <v>0</v>
      </c>
    </row>
    <row r="1156" spans="41:53" x14ac:dyDescent="0.35">
      <c r="AO1156" t="str">
        <f t="shared" si="35"/>
        <v/>
      </c>
      <c r="BA1156">
        <f t="shared" si="34"/>
        <v>0</v>
      </c>
    </row>
    <row r="1157" spans="41:53" x14ac:dyDescent="0.35">
      <c r="AO1157" t="str">
        <f t="shared" si="35"/>
        <v/>
      </c>
      <c r="BA1157">
        <f t="shared" si="34"/>
        <v>0</v>
      </c>
    </row>
    <row r="1158" spans="41:53" x14ac:dyDescent="0.35">
      <c r="AO1158" t="str">
        <f t="shared" si="35"/>
        <v/>
      </c>
      <c r="BA1158">
        <f t="shared" si="34"/>
        <v>0</v>
      </c>
    </row>
    <row r="1159" spans="41:53" x14ac:dyDescent="0.35">
      <c r="AO1159" t="str">
        <f t="shared" si="35"/>
        <v/>
      </c>
      <c r="BA1159">
        <f t="shared" si="34"/>
        <v>0</v>
      </c>
    </row>
    <row r="1160" spans="41:53" x14ac:dyDescent="0.35">
      <c r="AO1160" t="str">
        <f t="shared" si="35"/>
        <v/>
      </c>
      <c r="BA1160">
        <f t="shared" si="34"/>
        <v>0</v>
      </c>
    </row>
    <row r="1161" spans="41:53" x14ac:dyDescent="0.35">
      <c r="AO1161" t="str">
        <f t="shared" si="35"/>
        <v/>
      </c>
      <c r="BA1161">
        <f t="shared" si="34"/>
        <v>0</v>
      </c>
    </row>
    <row r="1162" spans="41:53" x14ac:dyDescent="0.35">
      <c r="AO1162" t="str">
        <f t="shared" si="35"/>
        <v/>
      </c>
      <c r="BA1162">
        <f t="shared" si="34"/>
        <v>0</v>
      </c>
    </row>
    <row r="1163" spans="41:53" x14ac:dyDescent="0.35">
      <c r="AO1163" t="str">
        <f t="shared" si="35"/>
        <v/>
      </c>
      <c r="BA1163">
        <f t="shared" si="34"/>
        <v>0</v>
      </c>
    </row>
    <row r="1164" spans="41:53" x14ac:dyDescent="0.35">
      <c r="AO1164" t="str">
        <f t="shared" si="35"/>
        <v/>
      </c>
      <c r="BA1164">
        <f t="shared" si="34"/>
        <v>0</v>
      </c>
    </row>
    <row r="1165" spans="41:53" x14ac:dyDescent="0.35">
      <c r="AO1165" t="str">
        <f t="shared" si="35"/>
        <v/>
      </c>
      <c r="BA1165">
        <f t="shared" si="34"/>
        <v>0</v>
      </c>
    </row>
    <row r="1166" spans="41:53" x14ac:dyDescent="0.35">
      <c r="AO1166" t="str">
        <f t="shared" si="35"/>
        <v/>
      </c>
      <c r="BA1166">
        <f t="shared" si="34"/>
        <v>0</v>
      </c>
    </row>
    <row r="1167" spans="41:53" x14ac:dyDescent="0.35">
      <c r="AO1167" t="str">
        <f t="shared" si="35"/>
        <v/>
      </c>
      <c r="BA1167">
        <f t="shared" si="34"/>
        <v>0</v>
      </c>
    </row>
    <row r="1168" spans="41:53" x14ac:dyDescent="0.35">
      <c r="AO1168" t="str">
        <f t="shared" si="35"/>
        <v/>
      </c>
      <c r="BA1168">
        <f t="shared" si="34"/>
        <v>0</v>
      </c>
    </row>
    <row r="1169" spans="39:53" x14ac:dyDescent="0.35">
      <c r="AO1169" t="str">
        <f t="shared" si="35"/>
        <v/>
      </c>
      <c r="BA1169">
        <f t="shared" si="34"/>
        <v>0</v>
      </c>
    </row>
    <row r="1170" spans="39:53" x14ac:dyDescent="0.35">
      <c r="AO1170" t="str">
        <f t="shared" si="35"/>
        <v/>
      </c>
      <c r="BA1170">
        <f t="shared" si="34"/>
        <v>0</v>
      </c>
    </row>
    <row r="1171" spans="39:53" x14ac:dyDescent="0.35">
      <c r="AO1171" t="str">
        <f t="shared" si="35"/>
        <v/>
      </c>
      <c r="BA1171">
        <f t="shared" si="34"/>
        <v>0</v>
      </c>
    </row>
    <row r="1172" spans="39:53" x14ac:dyDescent="0.35">
      <c r="AO1172" t="str">
        <f t="shared" si="35"/>
        <v/>
      </c>
      <c r="BA1172">
        <f t="shared" si="34"/>
        <v>0</v>
      </c>
    </row>
    <row r="1173" spans="39:53" x14ac:dyDescent="0.35">
      <c r="AO1173" t="str">
        <f t="shared" si="35"/>
        <v/>
      </c>
      <c r="BA1173">
        <f t="shared" si="34"/>
        <v>0</v>
      </c>
    </row>
    <row r="1174" spans="39:53" x14ac:dyDescent="0.35">
      <c r="AO1174" t="str">
        <f t="shared" si="35"/>
        <v/>
      </c>
      <c r="BA1174">
        <f t="shared" si="34"/>
        <v>0</v>
      </c>
    </row>
    <row r="1175" spans="39:53" x14ac:dyDescent="0.35">
      <c r="AO1175" t="str">
        <f t="shared" si="35"/>
        <v/>
      </c>
      <c r="BA1175">
        <f t="shared" si="34"/>
        <v>0</v>
      </c>
    </row>
    <row r="1176" spans="39:53" x14ac:dyDescent="0.35">
      <c r="AM1176" t="s">
        <v>159</v>
      </c>
      <c r="AO1176" t="s">
        <v>327</v>
      </c>
    </row>
    <row r="1177" spans="39:53" x14ac:dyDescent="0.35">
      <c r="AM1177" t="s">
        <v>282</v>
      </c>
      <c r="AO1177" t="s">
        <v>125</v>
      </c>
    </row>
    <row r="1179" spans="39:53" x14ac:dyDescent="0.35">
      <c r="AM1179" t="s">
        <v>298</v>
      </c>
    </row>
    <row r="1180" spans="39:53" x14ac:dyDescent="0.35">
      <c r="AM1180" t="s">
        <v>46</v>
      </c>
    </row>
    <row r="1184" spans="39:53" x14ac:dyDescent="0.35">
      <c r="AM1184" t="b">
        <v>0</v>
      </c>
      <c r="AO1184" t="s">
        <v>319</v>
      </c>
      <c r="BA1184">
        <f>SUM(BA1188:BA1213)</f>
        <v>0</v>
      </c>
    </row>
    <row r="1185" spans="39:53" x14ac:dyDescent="0.35">
      <c r="AM1185" t="s">
        <v>317</v>
      </c>
      <c r="AO1185" t="s">
        <v>320</v>
      </c>
      <c r="AR1185" t="s">
        <v>147</v>
      </c>
      <c r="AX1185" t="s">
        <v>275</v>
      </c>
      <c r="AZ1185" t="str">
        <f>IF(COUNTA(AP1188:AP1227,AP1229)=0,"XXX","")</f>
        <v>XXX</v>
      </c>
    </row>
    <row r="1186" spans="39:53" ht="21" customHeight="1" x14ac:dyDescent="0.35">
      <c r="AM1186" t="s">
        <v>324</v>
      </c>
      <c r="AO1186" t="s">
        <v>161</v>
      </c>
      <c r="AP1186" t="s">
        <v>310</v>
      </c>
      <c r="AQ1186" t="s">
        <v>99</v>
      </c>
      <c r="AR1186" t="s">
        <v>176</v>
      </c>
      <c r="AS1186" t="s">
        <v>321</v>
      </c>
      <c r="AT1186" t="s">
        <v>299</v>
      </c>
      <c r="AU1186" t="s">
        <v>322</v>
      </c>
      <c r="AV1186" t="s">
        <v>45</v>
      </c>
    </row>
    <row r="1187" spans="39:53" x14ac:dyDescent="0.35">
      <c r="AM1187" t="s">
        <v>325</v>
      </c>
    </row>
    <row r="1188" spans="39:53" x14ac:dyDescent="0.35">
      <c r="AM1188" t="s">
        <v>316</v>
      </c>
      <c r="AO1188" t="str">
        <f>IF(BA1188&gt;0,1,"")</f>
        <v/>
      </c>
      <c r="BA1188">
        <f t="shared" ref="BA1188:BA1227" si="36">IF(COUNTA(AP1188:AY1188)=0,0,1)</f>
        <v>0</v>
      </c>
    </row>
    <row r="1189" spans="39:53" x14ac:dyDescent="0.35">
      <c r="AO1189" t="str">
        <f t="shared" ref="AO1189:AO1227" si="37">IF(BA1189&gt;0,1+AO1188,"")</f>
        <v/>
      </c>
      <c r="BA1189">
        <f t="shared" si="36"/>
        <v>0</v>
      </c>
    </row>
    <row r="1190" spans="39:53" x14ac:dyDescent="0.35">
      <c r="AM1190" t="s">
        <v>298</v>
      </c>
      <c r="AO1190" t="str">
        <f t="shared" si="37"/>
        <v/>
      </c>
      <c r="BA1190">
        <f t="shared" si="36"/>
        <v>0</v>
      </c>
    </row>
    <row r="1191" spans="39:53" x14ac:dyDescent="0.35">
      <c r="AM1191" t="s">
        <v>46</v>
      </c>
      <c r="AO1191" t="str">
        <f t="shared" si="37"/>
        <v/>
      </c>
      <c r="BA1191">
        <f t="shared" si="36"/>
        <v>0</v>
      </c>
    </row>
    <row r="1192" spans="39:53" x14ac:dyDescent="0.35">
      <c r="AO1192" t="str">
        <f t="shared" si="37"/>
        <v/>
      </c>
      <c r="BA1192">
        <f t="shared" si="36"/>
        <v>0</v>
      </c>
    </row>
    <row r="1193" spans="39:53" x14ac:dyDescent="0.35">
      <c r="AM1193" t="s">
        <v>307</v>
      </c>
      <c r="AO1193" t="str">
        <f t="shared" si="37"/>
        <v/>
      </c>
      <c r="BA1193">
        <f t="shared" si="36"/>
        <v>0</v>
      </c>
    </row>
    <row r="1194" spans="39:53" x14ac:dyDescent="0.35">
      <c r="AM1194" t="s">
        <v>308</v>
      </c>
      <c r="AO1194" t="str">
        <f t="shared" si="37"/>
        <v/>
      </c>
      <c r="BA1194">
        <f t="shared" si="36"/>
        <v>0</v>
      </c>
    </row>
    <row r="1195" spans="39:53" x14ac:dyDescent="0.35">
      <c r="AO1195" t="str">
        <f t="shared" si="37"/>
        <v/>
      </c>
      <c r="BA1195">
        <f t="shared" si="36"/>
        <v>0</v>
      </c>
    </row>
    <row r="1196" spans="39:53" x14ac:dyDescent="0.35">
      <c r="AO1196" t="str">
        <f t="shared" si="37"/>
        <v/>
      </c>
      <c r="BA1196">
        <f t="shared" si="36"/>
        <v>0</v>
      </c>
    </row>
    <row r="1197" spans="39:53" x14ac:dyDescent="0.35">
      <c r="AO1197" t="str">
        <f t="shared" si="37"/>
        <v/>
      </c>
      <c r="BA1197">
        <f t="shared" si="36"/>
        <v>0</v>
      </c>
    </row>
    <row r="1198" spans="39:53" x14ac:dyDescent="0.35">
      <c r="AO1198" t="str">
        <f t="shared" si="37"/>
        <v/>
      </c>
      <c r="BA1198">
        <f t="shared" si="36"/>
        <v>0</v>
      </c>
    </row>
    <row r="1199" spans="39:53" x14ac:dyDescent="0.35">
      <c r="AO1199" t="str">
        <f t="shared" si="37"/>
        <v/>
      </c>
      <c r="BA1199">
        <f t="shared" si="36"/>
        <v>0</v>
      </c>
    </row>
    <row r="1200" spans="39:53" x14ac:dyDescent="0.35">
      <c r="AO1200" t="str">
        <f t="shared" si="37"/>
        <v/>
      </c>
      <c r="BA1200">
        <f t="shared" si="36"/>
        <v>0</v>
      </c>
    </row>
    <row r="1201" spans="41:53" x14ac:dyDescent="0.35">
      <c r="AO1201" t="str">
        <f t="shared" si="37"/>
        <v/>
      </c>
      <c r="BA1201">
        <f t="shared" si="36"/>
        <v>0</v>
      </c>
    </row>
    <row r="1202" spans="41:53" x14ac:dyDescent="0.35">
      <c r="AO1202" t="str">
        <f t="shared" si="37"/>
        <v/>
      </c>
      <c r="BA1202">
        <f t="shared" si="36"/>
        <v>0</v>
      </c>
    </row>
    <row r="1203" spans="41:53" x14ac:dyDescent="0.35">
      <c r="AO1203" t="str">
        <f t="shared" si="37"/>
        <v/>
      </c>
      <c r="BA1203">
        <f t="shared" si="36"/>
        <v>0</v>
      </c>
    </row>
    <row r="1204" spans="41:53" x14ac:dyDescent="0.35">
      <c r="AO1204" t="str">
        <f t="shared" si="37"/>
        <v/>
      </c>
      <c r="BA1204">
        <f t="shared" si="36"/>
        <v>0</v>
      </c>
    </row>
    <row r="1205" spans="41:53" x14ac:dyDescent="0.35">
      <c r="AO1205" t="str">
        <f t="shared" si="37"/>
        <v/>
      </c>
      <c r="BA1205">
        <f t="shared" si="36"/>
        <v>0</v>
      </c>
    </row>
    <row r="1206" spans="41:53" x14ac:dyDescent="0.35">
      <c r="AO1206" t="str">
        <f t="shared" si="37"/>
        <v/>
      </c>
      <c r="BA1206">
        <f t="shared" si="36"/>
        <v>0</v>
      </c>
    </row>
    <row r="1207" spans="41:53" x14ac:dyDescent="0.35">
      <c r="AO1207" t="str">
        <f t="shared" si="37"/>
        <v/>
      </c>
      <c r="BA1207">
        <f t="shared" si="36"/>
        <v>0</v>
      </c>
    </row>
    <row r="1208" spans="41:53" x14ac:dyDescent="0.35">
      <c r="AO1208" t="str">
        <f t="shared" si="37"/>
        <v/>
      </c>
      <c r="BA1208">
        <f t="shared" si="36"/>
        <v>0</v>
      </c>
    </row>
    <row r="1209" spans="41:53" x14ac:dyDescent="0.35">
      <c r="AO1209" t="str">
        <f t="shared" si="37"/>
        <v/>
      </c>
      <c r="BA1209">
        <f t="shared" si="36"/>
        <v>0</v>
      </c>
    </row>
    <row r="1210" spans="41:53" x14ac:dyDescent="0.35">
      <c r="AO1210" t="str">
        <f t="shared" si="37"/>
        <v/>
      </c>
      <c r="BA1210">
        <f t="shared" si="36"/>
        <v>0</v>
      </c>
    </row>
    <row r="1211" spans="41:53" x14ac:dyDescent="0.35">
      <c r="AO1211" t="str">
        <f t="shared" si="37"/>
        <v/>
      </c>
      <c r="BA1211">
        <f t="shared" si="36"/>
        <v>0</v>
      </c>
    </row>
    <row r="1212" spans="41:53" x14ac:dyDescent="0.35">
      <c r="AO1212" t="str">
        <f t="shared" si="37"/>
        <v/>
      </c>
      <c r="BA1212">
        <f t="shared" si="36"/>
        <v>0</v>
      </c>
    </row>
    <row r="1213" spans="41:53" x14ac:dyDescent="0.35">
      <c r="AO1213" t="str">
        <f t="shared" si="37"/>
        <v/>
      </c>
      <c r="BA1213">
        <f t="shared" si="36"/>
        <v>0</v>
      </c>
    </row>
    <row r="1214" spans="41:53" x14ac:dyDescent="0.35">
      <c r="AO1214" t="str">
        <f t="shared" si="37"/>
        <v/>
      </c>
      <c r="BA1214">
        <f t="shared" si="36"/>
        <v>0</v>
      </c>
    </row>
    <row r="1215" spans="41:53" x14ac:dyDescent="0.35">
      <c r="AO1215" t="str">
        <f t="shared" si="37"/>
        <v/>
      </c>
      <c r="BA1215">
        <f t="shared" si="36"/>
        <v>0</v>
      </c>
    </row>
    <row r="1216" spans="41:53" x14ac:dyDescent="0.35">
      <c r="AO1216" t="str">
        <f t="shared" si="37"/>
        <v/>
      </c>
      <c r="BA1216">
        <f t="shared" si="36"/>
        <v>0</v>
      </c>
    </row>
    <row r="1217" spans="39:53" x14ac:dyDescent="0.35">
      <c r="AO1217" t="str">
        <f t="shared" si="37"/>
        <v/>
      </c>
      <c r="BA1217">
        <f t="shared" si="36"/>
        <v>0</v>
      </c>
    </row>
    <row r="1218" spans="39:53" x14ac:dyDescent="0.35">
      <c r="AO1218" t="str">
        <f t="shared" si="37"/>
        <v/>
      </c>
      <c r="BA1218">
        <f t="shared" si="36"/>
        <v>0</v>
      </c>
    </row>
    <row r="1219" spans="39:53" x14ac:dyDescent="0.35">
      <c r="AO1219" t="str">
        <f t="shared" si="37"/>
        <v/>
      </c>
      <c r="BA1219">
        <f t="shared" si="36"/>
        <v>0</v>
      </c>
    </row>
    <row r="1220" spans="39:53" x14ac:dyDescent="0.35">
      <c r="AO1220" t="str">
        <f t="shared" si="37"/>
        <v/>
      </c>
      <c r="BA1220">
        <f t="shared" si="36"/>
        <v>0</v>
      </c>
    </row>
    <row r="1221" spans="39:53" x14ac:dyDescent="0.35">
      <c r="AO1221" t="str">
        <f t="shared" si="37"/>
        <v/>
      </c>
      <c r="BA1221">
        <f t="shared" si="36"/>
        <v>0</v>
      </c>
    </row>
    <row r="1222" spans="39:53" x14ac:dyDescent="0.35">
      <c r="AO1222" t="str">
        <f t="shared" si="37"/>
        <v/>
      </c>
      <c r="BA1222">
        <f t="shared" si="36"/>
        <v>0</v>
      </c>
    </row>
    <row r="1223" spans="39:53" x14ac:dyDescent="0.35">
      <c r="AO1223" t="str">
        <f t="shared" si="37"/>
        <v/>
      </c>
      <c r="BA1223">
        <f t="shared" si="36"/>
        <v>0</v>
      </c>
    </row>
    <row r="1224" spans="39:53" x14ac:dyDescent="0.35">
      <c r="AO1224" t="str">
        <f t="shared" si="37"/>
        <v/>
      </c>
      <c r="BA1224">
        <f t="shared" si="36"/>
        <v>0</v>
      </c>
    </row>
    <row r="1225" spans="39:53" x14ac:dyDescent="0.35">
      <c r="AO1225" t="str">
        <f t="shared" si="37"/>
        <v/>
      </c>
      <c r="BA1225">
        <f t="shared" si="36"/>
        <v>0</v>
      </c>
    </row>
    <row r="1226" spans="39:53" x14ac:dyDescent="0.35">
      <c r="AO1226" t="str">
        <f t="shared" si="37"/>
        <v/>
      </c>
      <c r="BA1226">
        <f t="shared" si="36"/>
        <v>0</v>
      </c>
    </row>
    <row r="1227" spans="39:53" x14ac:dyDescent="0.35">
      <c r="AO1227" t="str">
        <f t="shared" si="37"/>
        <v/>
      </c>
      <c r="BA1227">
        <f t="shared" si="36"/>
        <v>0</v>
      </c>
    </row>
    <row r="1228" spans="39:53" x14ac:dyDescent="0.35">
      <c r="AM1228" t="s">
        <v>159</v>
      </c>
    </row>
    <row r="1229" spans="39:53" x14ac:dyDescent="0.35">
      <c r="AM1229" t="s">
        <v>282</v>
      </c>
      <c r="AO1229" t="s">
        <v>125</v>
      </c>
    </row>
    <row r="1231" spans="39:53" x14ac:dyDescent="0.35">
      <c r="AM1231" t="s">
        <v>298</v>
      </c>
    </row>
    <row r="1232" spans="39:53" x14ac:dyDescent="0.35">
      <c r="AM1232" t="s">
        <v>46</v>
      </c>
    </row>
    <row r="1236" spans="39:53" x14ac:dyDescent="0.35">
      <c r="AM1236" t="b">
        <v>0</v>
      </c>
      <c r="AO1236" t="s">
        <v>323</v>
      </c>
      <c r="BA1236">
        <f>SUM(BA1240:BA1265)</f>
        <v>0</v>
      </c>
    </row>
    <row r="1384" ht="21" customHeight="1" x14ac:dyDescent="0.35"/>
    <row r="1389" ht="21" customHeight="1" x14ac:dyDescent="0.35"/>
    <row r="1427" ht="21" customHeight="1" x14ac:dyDescent="0.35"/>
    <row r="1465" ht="21" customHeight="1" x14ac:dyDescent="0.35"/>
    <row r="1517" ht="21" customHeight="1" x14ac:dyDescent="0.35"/>
    <row r="1569" ht="21" customHeight="1" x14ac:dyDescent="0.35"/>
    <row r="1621" ht="21" customHeight="1" x14ac:dyDescent="0.35"/>
    <row r="1673" ht="21" customHeight="1" x14ac:dyDescent="0.35"/>
    <row r="1725" ht="21" customHeight="1" x14ac:dyDescent="0.35"/>
    <row r="1777" ht="21" customHeight="1" x14ac:dyDescent="0.35"/>
    <row r="1829" ht="21" customHeight="1" x14ac:dyDescent="0.35"/>
    <row r="2575" spans="31:31" x14ac:dyDescent="0.35">
      <c r="AE2575" s="47"/>
    </row>
  </sheetData>
  <sheetProtection sheet="1" objects="1" scenarios="1"/>
  <sortState ref="C3:D500">
    <sortCondition ref="C3:C10"/>
    <sortCondition ref="D3:D1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est">
                <anchor moveWithCells="1" sizeWithCells="1">
                  <from>
                    <xdr:col>6</xdr:col>
                    <xdr:colOff>200025</xdr:colOff>
                    <xdr:row>1</xdr:row>
                    <xdr:rowOff>66675</xdr:rowOff>
                  </from>
                  <to>
                    <xdr:col>7</xdr:col>
                    <xdr:colOff>685800</xdr:colOff>
                    <xdr:row>1</xdr:row>
                    <xdr:rowOff>257175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2DF4E14683A2447A54A3F92411E7C2C" ma:contentTypeVersion="18" ma:contentTypeDescription="Create a new document." ma:contentTypeScope="" ma:versionID="225c43588dbf2ebdaa1cdf21bb76682c">
  <xsd:schema xmlns:xsd="http://www.w3.org/2001/XMLSchema" xmlns:xs="http://www.w3.org/2001/XMLSchema" xmlns:p="http://schemas.microsoft.com/office/2006/metadata/properties" xmlns:ns3="a00bcf38-e34f-433d-bee1-3d8844385786" xmlns:ns4="6ef1d9d1-5263-4173-a6cc-0d63bbf8d0de" targetNamespace="http://schemas.microsoft.com/office/2006/metadata/properties" ma:root="true" ma:fieldsID="310065081e2bae168d7658272c5fb6f8" ns3:_="" ns4:_="">
    <xsd:import namespace="a00bcf38-e34f-433d-bee1-3d8844385786"/>
    <xsd:import namespace="6ef1d9d1-5263-4173-a6cc-0d63bbf8d0d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AutoKeyPoints" minOccurs="0"/>
                <xsd:element ref="ns3:MediaServiceKeyPoints" minOccurs="0"/>
                <xsd:element ref="ns3:MediaServiceLocation" minOccurs="0"/>
                <xsd:element ref="ns4:SharedWithUsers" minOccurs="0"/>
                <xsd:element ref="ns4:SharedWithDetails" minOccurs="0"/>
                <xsd:element ref="ns4:SharingHintHash" minOccurs="0"/>
                <xsd:element ref="ns3:MediaLengthInSeconds" minOccurs="0"/>
                <xsd:element ref="ns3:_activity"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0bcf38-e34f-433d-bee1-3d884438578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_activity" ma:index="22" nillable="true" ma:displayName="_activity" ma:hidden="true" ma:internalName="_activity">
      <xsd:simpleType>
        <xsd:restriction base="dms:Note"/>
      </xsd:simple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ystemTags" ma:index="24" nillable="true" ma:displayName="MediaServiceSystemTags" ma:hidden="true" ma:internalName="MediaServiceSystemTags" ma:readOnly="true">
      <xsd:simpleType>
        <xsd:restriction base="dms:Note"/>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ef1d9d1-5263-4173-a6cc-0d63bbf8d0d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a00bcf38-e34f-433d-bee1-3d884438578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5989965-D5D7-4F40-8CBE-86E69F8ECF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0bcf38-e34f-433d-bee1-3d8844385786"/>
    <ds:schemaRef ds:uri="6ef1d9d1-5263-4173-a6cc-0d63bbf8d0d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D53517-37D5-49E1-83EE-8B1F71BCD51B}">
  <ds:schemaRefs>
    <ds:schemaRef ds:uri="http://schemas.openxmlformats.org/package/2006/metadata/core-properties"/>
    <ds:schemaRef ds:uri="http://schemas.microsoft.com/office/2006/documentManagement/types"/>
    <ds:schemaRef ds:uri="http://schemas.microsoft.com/office/infopath/2007/PartnerControls"/>
    <ds:schemaRef ds:uri="a00bcf38-e34f-433d-bee1-3d8844385786"/>
    <ds:schemaRef ds:uri="http://purl.org/dc/elements/1.1/"/>
    <ds:schemaRef ds:uri="http://schemas.microsoft.com/office/2006/metadata/properties"/>
    <ds:schemaRef ds:uri="http://purl.org/dc/terms/"/>
    <ds:schemaRef ds:uri="6ef1d9d1-5263-4173-a6cc-0d63bbf8d0de"/>
    <ds:schemaRef ds:uri="http://www.w3.org/XML/1998/namespace"/>
    <ds:schemaRef ds:uri="http://purl.org/dc/dcmitype/"/>
  </ds:schemaRefs>
</ds:datastoreItem>
</file>

<file path=customXml/itemProps3.xml><?xml version="1.0" encoding="utf-8"?>
<ds:datastoreItem xmlns:ds="http://schemas.openxmlformats.org/officeDocument/2006/customXml" ds:itemID="{E92062E5-3218-4950-BB26-0E11E1EF684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Main</vt:lpstr>
      <vt:lpstr>Building</vt:lpstr>
      <vt:lpstr>DataBase</vt:lpstr>
      <vt:lpstr>BAArray</vt:lpstr>
      <vt:lpstr>Bldg</vt:lpstr>
      <vt:lpstr>CellA1</vt:lpstr>
      <vt:lpstr>CellA2</vt:lpstr>
      <vt:lpstr>CellA3</vt:lpstr>
      <vt:lpstr>CellE3</vt:lpstr>
      <vt:lpstr>CellF500</vt:lpstr>
      <vt:lpstr>Building!Print_Area</vt:lpstr>
      <vt:lpstr>Main!Print_Area</vt:lpstr>
      <vt:lpstr>Building!Print_Titles</vt:lpstr>
      <vt:lpstr>Main!Print_Titles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Fouad Al-Malazi / ZS PEB Products R&amp;D</dc:creator>
  <cp:lastModifiedBy>Enayatullah Syed / BCOMS Engineering</cp:lastModifiedBy>
  <cp:lastPrinted>2022-01-17T09:13:03Z</cp:lastPrinted>
  <dcterms:created xsi:type="dcterms:W3CDTF">2014-11-13T12:13:36Z</dcterms:created>
  <dcterms:modified xsi:type="dcterms:W3CDTF">2024-06-03T07:25:42Z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0x01010012DF4E14683A2447A54A3F92411E7C2C</vt:lpwstr>
  </property>
  <property fmtid="{D5CDD505-2E9C-101B-9397-08002B2CF9AE}" pid="3" name="MSIP_Label_de83b89b-2937-4261-ba51-80c14d7ca553_Enabled">
    <vt:lpwstr>true</vt:lpwstr>
  </property>
  <property fmtid="{D5CDD505-2E9C-101B-9397-08002B2CF9AE}" pid="4" name="MSIP_Label_de83b89b-2937-4261-ba51-80c14d7ca553_SetDate">
    <vt:lpwstr>2021-12-26T08:40:41Z</vt:lpwstr>
  </property>
  <property fmtid="{D5CDD505-2E9C-101B-9397-08002B2CF9AE}" pid="5" name="MSIP_Label_de83b89b-2937-4261-ba51-80c14d7ca553_Method">
    <vt:lpwstr>Privileged</vt:lpwstr>
  </property>
  <property fmtid="{D5CDD505-2E9C-101B-9397-08002B2CF9AE}" pid="6" name="MSIP_Label_de83b89b-2937-4261-ba51-80c14d7ca553_Name">
    <vt:lpwstr>de83b89b-2937-4261-ba51-80c14d7ca553</vt:lpwstr>
  </property>
  <property fmtid="{D5CDD505-2E9C-101B-9397-08002B2CF9AE}" pid="7" name="MSIP_Label_de83b89b-2937-4261-ba51-80c14d7ca553_SiteId">
    <vt:lpwstr>cfdb9f84-010a-4951-9bfc-0335b2ab3bb5</vt:lpwstr>
  </property>
  <property fmtid="{D5CDD505-2E9C-101B-9397-08002B2CF9AE}" pid="8" name="MSIP_Label_de83b89b-2937-4261-ba51-80c14d7ca553_ContentBits">
    <vt:lpwstr>0</vt:lpwstr>
  </property>
</Properties>
</file>